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ow to use" sheetId="2" state="visible" r:id="rId4"/>
    <sheet name="01 Projects" sheetId="3" state="visible" r:id="rId5"/>
    <sheet name="02 Agents" sheetId="4" state="visible" r:id="rId6"/>
    <sheet name="03 Studio" sheetId="5" state="visible" r:id="rId7"/>
    <sheet name="04 Scheduler" sheetId="6" state="visible" r:id="rId8"/>
    <sheet name="05 Playbook" sheetId="7" state="visible" r:id="rId9"/>
    <sheet name="06 Connectors" sheetId="8" state="visible" r:id="rId10"/>
    <sheet name="07 Lets Chat" sheetId="9" state="visible" r:id="rId11"/>
    <sheet name="08 Lets Build" sheetId="10" state="visible" r:id="rId12"/>
    <sheet name="09 Recorders" sheetId="11" state="visible" r:id="rId13"/>
    <sheet name="10 Terminal" sheetId="12" state="visible" r:id="rId14"/>
    <sheet name="11 CLI (madav code)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<sst xmlns="http://schemas.openxmlformats.org/spreadsheetml/2006/main" count="1224" uniqueCount="880">
  <si>
    <t xml:space="preserve">  Madav — System Validation Tracker</t>
  </si>
  <si>
    <t xml:space="preserve">  2-day test pass · pick Pass/Fail/Blocked/Skipped/Retest on each tab · counts roll up here automatically</t>
  </si>
  <si>
    <t xml:space="preserve">Area</t>
  </si>
  <si>
    <t xml:space="preserve">Total</t>
  </si>
  <si>
    <t xml:space="preserve">Pass</t>
  </si>
  <si>
    <t xml:space="preserve">Fail</t>
  </si>
  <si>
    <t xml:space="preserve">Blocked</t>
  </si>
  <si>
    <t xml:space="preserve">Skipped/Retest</t>
  </si>
  <si>
    <t xml:space="preserve">Not run</t>
  </si>
  <si>
    <t xml:space="preserve">% Done</t>
  </si>
  <si>
    <t xml:space="preserve">01 Projects</t>
  </si>
  <si>
    <t xml:space="preserve">02 Agents</t>
  </si>
  <si>
    <t xml:space="preserve">03 Studio</t>
  </si>
  <si>
    <t xml:space="preserve">04 Scheduler</t>
  </si>
  <si>
    <t xml:space="preserve">05 Playbook</t>
  </si>
  <si>
    <t xml:space="preserve">06 Connectors</t>
  </si>
  <si>
    <t xml:space="preserve">07 Lets Chat</t>
  </si>
  <si>
    <t xml:space="preserve">08 Lets Build</t>
  </si>
  <si>
    <t xml:space="preserve">09 Recorders</t>
  </si>
  <si>
    <t xml:space="preserve">10 Terminal</t>
  </si>
  <si>
    <t xml:space="preserve">11 CLI (madav code)</t>
  </si>
  <si>
    <t xml:space="preserve">TOTAL</t>
  </si>
  <si>
    <t xml:space="preserve">Priority key:</t>
  </si>
  <si>
    <t xml:space="preserve">P1 = must pass before launch</t>
  </si>
  <si>
    <t xml:space="preserve">P2 = important</t>
  </si>
  <si>
    <t xml:space="preserve">P3 = nice-to-have / edge</t>
  </si>
  <si>
    <t xml:space="preserve">How to use this tracker</t>
  </si>
  <si>
    <t xml:space="preserve">What this is</t>
  </si>
  <si>
    <t xml:space="preserve">A 129-case validation plan covering all 12 areas you listed. Each area is its own tab. Work top-to-bottom; the Summary tab counts your results automatically.</t>
  </si>
  <si>
    <t xml:space="preserve">Running a test</t>
  </si>
  <si>
    <t xml:space="preserve">1.  Open an area tab. Read the Scenario, do exactly the Steps, using the Example input/data where given.</t>
  </si>
  <si>
    <t xml:space="preserve">2.  Compare what happened to the Expected result column.</t>
  </si>
  <si>
    <t xml:space="preserve">3.  In the Result column pick: Pass, Fail, Blocked (couldn't run), Skipped, or Retest. The cell colours itself.</t>
  </si>
  <si>
    <t xml:space="preserve">4.  If it failed, set a Severity (S1-Critical … S4-Cosmetic) and write what went wrong in Notes / bug link.</t>
  </si>
  <si>
    <t xml:space="preserve">Priorities</t>
  </si>
  <si>
    <t xml:space="preserve">P1 = must pass before launch (test these first). P2 = important. P3 = nice-to-have / edge cases. If you only have 2 days, clear every P1 across all tabs first, then P2.</t>
  </si>
  <si>
    <t xml:space="preserve">Suggested 2-day order</t>
  </si>
  <si>
    <t xml:space="preserve">Day 1: Agents -&gt; Studio -&gt; Projects -&gt; Let's Chat -&gt; Connectors  (the core creation + collaboration paths).</t>
  </si>
  <si>
    <t xml:space="preserve">Day 2: Let's Build -&gt; CLI (madav code) -&gt; Terminal -&gt; Scheduler -&gt; Playbook -&gt; Recorders  (build, automation, capture).</t>
  </si>
  <si>
    <t xml:space="preserve">Test data to prepare once (so you're not improvising)</t>
  </si>
  <si>
    <t xml:space="preserve">•  A throwaway project folder + a small public GitHub repo URL (for Let's Build / CLI).</t>
  </si>
  <si>
    <t xml:space="preserve">•  A sample CSV/PDF and an image file (for chat attachments + agent/team avatars).</t>
  </si>
  <si>
    <t xml:space="preserve">•  One connector account you don't mind authorising (e.g. a test Gmail).</t>
  </si>
  <si>
    <t xml:space="preserve">•  A list of ~8 items, one per line (for the Swarm test), e.g. 8 café names.</t>
  </si>
  <si>
    <t xml:space="preserve">•  Node.js installed (for the madav CLI), and the desktop app (recorders + CLI need it).</t>
  </si>
  <si>
    <t xml:space="preserve">Notes</t>
  </si>
  <si>
    <t xml:space="preserve">•  Do NOT re-test an 'Anthropic via subscription' connection — that path is intentionally removed; only an admin Anthropic API key is supported.</t>
  </si>
  <si>
    <t xml:space="preserve">•  Recorders and the madav CLI only work in the desktop app, not the browser build.</t>
  </si>
  <si>
    <t xml:space="preserve">•  Found a bug? Note it here, then we fix it next session.</t>
  </si>
  <si>
    <t xml:space="preserve">  Projects</t>
  </si>
  <si>
    <t xml:space="preserve">  Projects / Workrooms — with agents, with a team, without agents, and Recruiter inside a room.</t>
  </si>
  <si>
    <t xml:space="preserve">ID</t>
  </si>
  <si>
    <t xml:space="preserve">Sub-area</t>
  </si>
  <si>
    <t xml:space="preserve">Scenario</t>
  </si>
  <si>
    <t xml:space="preserve">Preconditions</t>
  </si>
  <si>
    <t xml:space="preserve">Steps</t>
  </si>
  <si>
    <t xml:space="preserve">Example input / data</t>
  </si>
  <si>
    <t xml:space="preserve">Expected result</t>
  </si>
  <si>
    <t xml:space="preserve">Priority</t>
  </si>
  <si>
    <t xml:space="preserve">Result</t>
  </si>
  <si>
    <t xml:space="preserve">Severity</t>
  </si>
  <si>
    <t xml:space="preserve">Notes / bug link</t>
  </si>
  <si>
    <t xml:space="preserve">PRJ-01</t>
  </si>
  <si>
    <t xml:space="preserve">Create</t>
  </si>
  <si>
    <t xml:space="preserve">Create an empty Workroom</t>
  </si>
  <si>
    <t xml:space="preserve">Logged in; on Projects.</t>
  </si>
  <si>
    <t xml:space="preserve">1) Sidebar &gt; Projects.
2) Click 'New project' (or 'New workroom').
3) Name it; pick an icon/color.
4) Open it.</t>
  </si>
  <si>
    <t xml:space="preserve">Name: 'Q3 Launch'</t>
  </si>
  <si>
    <t xml:space="preserve">Room is created, appears in the Projects list, opens to an empty room with Chats/Tasks/Files/crew column. No agents attached yet.</t>
  </si>
  <si>
    <t xml:space="preserve">P1</t>
  </si>
  <si>
    <t xml:space="preserve">PRJ-02</t>
  </si>
  <si>
    <t xml:space="preserve">Without agents</t>
  </si>
  <si>
    <t xml:space="preserve">Use a plain room with no agents</t>
  </si>
  <si>
    <t xml:space="preserve">An empty room exists.</t>
  </si>
  <si>
    <t xml:space="preserve">1) Open 'Q3 Launch'.
2) Start a chat in the room with the base model only.
3) Drop a file into the room.
4) Add a task.</t>
  </si>
  <si>
    <t xml:space="preserve">Chat: 'Summarize the attached brief'; attach brief.pdf</t>
  </si>
  <si>
    <t xml:space="preserve">Plain chat answers using the room's files; no agent/crew is required; file is readable by the room; task is saved.</t>
  </si>
  <si>
    <t xml:space="preserve">PRJ-03</t>
  </si>
  <si>
    <t xml:space="preserve">Single agent</t>
  </si>
  <si>
    <t xml:space="preserve">Attach ONE agent to a room</t>
  </si>
  <si>
    <t xml:space="preserve">Have at least one saved agent (see Agents tab).</t>
  </si>
  <si>
    <t xml:space="preserve">1) Open room &gt; crew column.
2) 'Add agent' &gt; pick a single agent (e.g., Researcher).
3) Ask the room a question that should route to that agent.</t>
  </si>
  <si>
    <t xml:space="preserve">'Research 3 competitors and list pricing'</t>
  </si>
  <si>
    <t xml:space="preserve">The agent appears in the crew, takes the task, runs with its own tools/model, and posts a result attributed to that agent.</t>
  </si>
  <si>
    <t xml:space="preserve">PRJ-04</t>
  </si>
  <si>
    <t xml:space="preserve">Agent team</t>
  </si>
  <si>
    <t xml:space="preserve">Attach an existing TEAM to a room</t>
  </si>
  <si>
    <t xml:space="preserve">Have a saved team (Recruiter).</t>
  </si>
  <si>
    <t xml:space="preserve">1) Crew column &gt; Add &gt; choose a Team.
2) Confirm all members appear.
3) Give a multi-step brief that needs more than one role.</t>
  </si>
  <si>
    <t xml:space="preserve">'Draft a launch plan: research, copy, and a checklist'</t>
  </si>
  <si>
    <t xml:space="preserve">All team members load into the room; work is split/handed off across members; a combined output is produced.</t>
  </si>
  <si>
    <t xml:space="preserve">PRJ-05</t>
  </si>
  <si>
    <t xml:space="preserve">Recruiter in room</t>
  </si>
  <si>
    <t xml:space="preserve">Build a team via Recruiter from inside a room</t>
  </si>
  <si>
    <t xml:space="preserve">In a room with no team yet.</t>
  </si>
  <si>
    <t xml:space="preserve">1) Crew column &gt; Recruiter / 'Build a team'.
2) Describe the outcome you want.
3) Review the proposed org-chart, readiness line, and team-wide settings.
4) Hire the team.</t>
  </si>
  <si>
    <t xml:space="preserve">'I need a team to ship a weekly newsletter'</t>
  </si>
  <si>
    <t xml:space="preserve">Recruiter proposes a named team with members + roles; team-wide tools/model/autonomy/pins/knowledge are shown; on Hire, every member is created with those settings and joins the room.</t>
  </si>
  <si>
    <t xml:space="preserve">PRJ-06</t>
  </si>
  <si>
    <t xml:space="preserve">Room playbook</t>
  </si>
  <si>
    <t xml:space="preserve">Pin a play to the room</t>
  </si>
  <si>
    <t xml:space="preserve">Room has a crew; at least one play exists.</t>
  </si>
  <si>
    <t xml:space="preserve">1) Crew column &gt; 'Room playbook'.
2) Pin a play.
3) Run a matching task.</t>
  </si>
  <si>
    <t xml:space="preserve">Pin 'weekly-digest' play</t>
  </si>
  <si>
    <t xml:space="preserve">The pinned play applies to every member of the room on top of their own pins; the run uses it.</t>
  </si>
  <si>
    <t xml:space="preserve">P2</t>
  </si>
  <si>
    <t xml:space="preserve">PRJ-07</t>
  </si>
  <si>
    <t xml:space="preserve">Per-room connectors</t>
  </si>
  <si>
    <t xml:space="preserve">Enable a connector only for this room</t>
  </si>
  <si>
    <t xml:space="preserve">A connector is available.</t>
  </si>
  <si>
    <t xml:space="preserve">1) Room settings &gt; Connectors.
2) Enable one (e.g., Gmail) for this room only.
3) Use it in the room.</t>
  </si>
  <si>
    <t xml:space="preserve">'Find last week's launch emails'</t>
  </si>
  <si>
    <t xml:space="preserve">Connector is scoped to the room; usable in-room; other rooms unaffected.</t>
  </si>
  <si>
    <t xml:space="preserve">PRJ-08</t>
  </si>
  <si>
    <t xml:space="preserve">Chats &amp; Tasks</t>
  </si>
  <si>
    <t xml:space="preserve">Categorized Chats and Tasks persist</t>
  </si>
  <si>
    <t xml:space="preserve">Room has activity.</t>
  </si>
  <si>
    <t xml:space="preserve">1) Create 2 chats and 3 tasks.
2) Close and reopen the room.
3) Mark a task done.</t>
  </si>
  <si>
    <t xml:space="preserve">—</t>
  </si>
  <si>
    <t xml:space="preserve">Chats and Tasks are listed under the room, survive reopen, and task state persists.</t>
  </si>
  <si>
    <t xml:space="preserve">PRJ-09</t>
  </si>
  <si>
    <t xml:space="preserve">Handoff</t>
  </si>
  <si>
    <t xml:space="preserve">Start work in Let's Collaborate from a room</t>
  </si>
  <si>
    <t xml:space="preserve">Room with a team.</t>
  </si>
  <si>
    <t xml:space="preserve">1) Open a project task.
2) Click 'Start work in Let's Collaborate'.</t>
  </si>
  <si>
    <t xml:space="preserve">Switches to Let's Collaborate carrying the room/team context; the conversation continues with the crew.</t>
  </si>
  <si>
    <t xml:space="preserve">PRJ-10</t>
  </si>
  <si>
    <t xml:space="preserve">Lifecycle</t>
  </si>
  <si>
    <t xml:space="preserve">Rename and delete a room</t>
  </si>
  <si>
    <t xml:space="preserve">An existing room.</t>
  </si>
  <si>
    <t xml:space="preserve">1) Rename the room.
2) Delete a different test room; confirm.</t>
  </si>
  <si>
    <t xml:space="preserve">Rename persists; delete asks for confirmation and removes the room and its list entry only.</t>
  </si>
  <si>
    <t xml:space="preserve">PRJ-11</t>
  </si>
  <si>
    <t xml:space="preserve">Persistence</t>
  </si>
  <si>
    <t xml:space="preserve">Rooms follow the account (workspace sync)</t>
  </si>
  <si>
    <t xml:space="preserve">Logged in on the desktop app.</t>
  </si>
  <si>
    <t xml:space="preserve">1) Create a room + team.
2) Sign out and back in (or check sync).</t>
  </si>
  <si>
    <t xml:space="preserve">Room, crew, folders and instructions reload after re-login (last-write-wins); API keys stay device-local.</t>
  </si>
  <si>
    <t xml:space="preserve">P3</t>
  </si>
  <si>
    <t xml:space="preserve">  Agents</t>
  </si>
  <si>
    <t xml:space="preserve">  Single agent, Agent Team, and Agent Swarm — Designer living-card, capabilities, and the full blueprint.</t>
  </si>
  <si>
    <t xml:space="preserve">AGT-01</t>
  </si>
  <si>
    <t xml:space="preserve">Single / Designer</t>
  </si>
  <si>
    <t xml:space="preserve">Create an agent from an archetype starter</t>
  </si>
  <si>
    <t xml:space="preserve">On Agents &gt; New (Designer).</t>
  </si>
  <si>
    <t xml:space="preserve">1) Agents &gt; New agent.
2) On the Designer empty state, click an Archetype card (Researcher/Writer/Analyst/Coder/Ops/Support).
3) Watch the blueprint pre-fill.</t>
  </si>
  <si>
    <t xml:space="preserve">Pick 'Researcher'</t>
  </si>
  <si>
    <t xml:space="preserve">The living card pre-fills name, one-line role, instructions, a capability grid and vibe — a complete starting blueprint.</t>
  </si>
  <si>
    <t xml:space="preserve">AGT-02</t>
  </si>
  <si>
    <t xml:space="preserve">Create from the persona cast</t>
  </si>
  <si>
    <t xml:space="preserve">Designer open.</t>
  </si>
  <si>
    <t xml:space="preserve">1) Click 'Browse all N roles'.
2) Pick a persona from the catalogue.</t>
  </si>
  <si>
    <t xml:space="preserve">Pick 'Pitchwright'</t>
  </si>
  <si>
    <t xml:space="preserve">Catalogue expands; chosen persona hires into a full blueprint.</t>
  </si>
  <si>
    <t xml:space="preserve">AGT-03</t>
  </si>
  <si>
    <t xml:space="preserve">Edit the living card</t>
  </si>
  <si>
    <t xml:space="preserve">A draft agent open.</t>
  </si>
  <si>
    <t xml:space="preserve">1) Edit Name and the one-line role.
2) Edit 'How they work' (instructions).</t>
  </si>
  <si>
    <t xml:space="preserve">Name 'Scout'; role 'Market researcher'</t>
  </si>
  <si>
    <t xml:space="preserve">Edits reflect live on the right-hand card; name shows as a static label (not a duplicate field).</t>
  </si>
  <si>
    <t xml:space="preserve">AGT-04</t>
  </si>
  <si>
    <t xml:space="preserve">Single / Personality</t>
  </si>
  <si>
    <t xml:space="preserve">Vibe chips change the Tone line</t>
  </si>
  <si>
    <t xml:space="preserve">Draft open.</t>
  </si>
  <si>
    <t xml:space="preserve">1) Toggle 2 vibe chips on, 1 off.
2) Inspect end of instructions.</t>
  </si>
  <si>
    <t xml:space="preserve">Toggle 'Concise' + 'Friendly'</t>
  </si>
  <si>
    <t xml:space="preserve">A 'Tone: …' line is maintained at the end of the instructions reflecting the chips (real effect, not cosmetic); stored on draft.vibe.</t>
  </si>
  <si>
    <t xml:space="preserve">AGT-05</t>
  </si>
  <si>
    <t xml:space="preserve">Single / Avatar</t>
  </si>
  <si>
    <t xml:space="preserve">Upload a custom agent photo</t>
  </si>
  <si>
    <t xml:space="preserve">1) Click the camera badge on the hero portrait.
2) Pick an image.</t>
  </si>
  <si>
    <t xml:space="preserve">Any JP/PNG</t>
  </si>
  <si>
    <t xml:space="preserve">Image is downscaled to a 256px avatar and shown as the agent face in Designer, roster cards and Floor tiles.</t>
  </si>
  <si>
    <t xml:space="preserve">AGT-06</t>
  </si>
  <si>
    <t xml:space="preserve">Cycle a generated look</t>
  </si>
  <si>
    <t xml:space="preserve">Draft open, no custom photo.</t>
  </si>
  <si>
    <t xml:space="preserve">1) Tap the portrait repeatedly.</t>
  </si>
  <si>
    <t xml:space="preserve">Portrait cycles through generated identity looks (color/glyph).</t>
  </si>
  <si>
    <t xml:space="preserve">AGT-07</t>
  </si>
  <si>
    <t xml:space="preserve">Single / Capabilities</t>
  </si>
  <si>
    <t xml:space="preserve">Toggle the capability grid</t>
  </si>
  <si>
    <t xml:space="preserve">1) Toggle Files, Shell, Connectors, Skills, Browser, Desktop on/off.
2) Note the risk tint.</t>
  </si>
  <si>
    <t xml:space="preserve">Enable Shell + Desktop</t>
  </si>
  <si>
    <t xml:space="preserve">Each capability toggles; Terminal/Desktop show an amber risk tint; state stored on the draft tools{}.</t>
  </si>
  <si>
    <t xml:space="preserve">AGT-08</t>
  </si>
  <si>
    <t xml:space="preserve">Single / Model</t>
  </si>
  <si>
    <t xml:space="preserve">Pin a model to the agent</t>
  </si>
  <si>
    <t xml:space="preserve">1) Open the model picker on the blueprint.
2) Pin a specific model.</t>
  </si>
  <si>
    <t xml:space="preserve">Pin a specific OpenRouter model</t>
  </si>
  <si>
    <t xml:space="preserve">Agent runs on the pinned model regardless of the global selector.</t>
  </si>
  <si>
    <t xml:space="preserve">AGT-09</t>
  </si>
  <si>
    <t xml:space="preserve">Single / Autonomy</t>
  </si>
  <si>
    <t xml:space="preserve">Set autonomy level</t>
  </si>
  <si>
    <t xml:space="preserve">1) Change the autonomy setting.</t>
  </si>
  <si>
    <t xml:space="preserve">Set to higher autonomy</t>
  </si>
  <si>
    <t xml:space="preserve">Setting saves and governs how much the agent acts without asking.</t>
  </si>
  <si>
    <t xml:space="preserve">AGT-10</t>
  </si>
  <si>
    <t xml:space="preserve">Single / Knowledge</t>
  </si>
  <si>
    <t xml:space="preserve">Add knowledge to an agent</t>
  </si>
  <si>
    <t xml:space="preserve">1) Knowledge section &gt; add text/file.</t>
  </si>
  <si>
    <t xml:space="preserve">Paste a product FAQ</t>
  </si>
  <si>
    <t xml:space="preserve">Knowledge is stored and retrieved (RAG-lite) in chat/teams/triggers/swarms.</t>
  </si>
  <si>
    <t xml:space="preserve">AGT-11</t>
  </si>
  <si>
    <t xml:space="preserve">Single / Plays</t>
  </si>
  <si>
    <t xml:space="preserve">Pin plays to the agent</t>
  </si>
  <si>
    <t xml:space="preserve">At least one play exists.</t>
  </si>
  <si>
    <t xml:space="preserve">1) Pinned plays &gt; add a play.</t>
  </si>
  <si>
    <t xml:space="preserve">Pin 'summarize-thread'</t>
  </si>
  <si>
    <t xml:space="preserve">Pinned play is pre-loaded on every mission for this agent.</t>
  </si>
  <si>
    <t xml:space="preserve">AGT-12</t>
  </si>
  <si>
    <t xml:space="preserve">Single / Memory</t>
  </si>
  <si>
    <t xml:space="preserve">Toggle memory</t>
  </si>
  <si>
    <t xml:space="preserve">1) Turn memory on; run a chat; reference an earlier fact.</t>
  </si>
  <si>
    <t xml:space="preserve">'Remember I prefer bullet summaries'</t>
  </si>
  <si>
    <t xml:space="preserve">With memory on the agent reads+learns across chat/teams/triggers; swarms read only.</t>
  </si>
  <si>
    <t xml:space="preserve">AGT-13</t>
  </si>
  <si>
    <t xml:space="preserve">Single / Try it</t>
  </si>
  <si>
    <t xml:space="preserve">Interview before hire WITH tools loaded</t>
  </si>
  <si>
    <t xml:space="preserve">Draft with tools enabled.</t>
  </si>
  <si>
    <t xml:space="preserve">1) Click 'Try it'.
2) Ask it to actually use a tool.</t>
  </si>
  <si>
    <t xml:space="preserve">'List the files in this folder'</t>
  </si>
  <si>
    <t xml:space="preserve">The Bench opens in the right pane and the trial run has the agent's tools loaded (not a tools-off prompt-only test); it performs the action.</t>
  </si>
  <si>
    <t xml:space="preserve">AGT-14</t>
  </si>
  <si>
    <t xml:space="preserve">Single / Save</t>
  </si>
  <si>
    <t xml:space="preserve">Put the agent to work</t>
  </si>
  <si>
    <t xml:space="preserve">Valid draft.</t>
  </si>
  <si>
    <t xml:space="preserve">1) Click 'Put to work' once.</t>
  </si>
  <si>
    <t xml:space="preserve">Agent saves to the roster; there is only ONE save control (no duplicate big button).</t>
  </si>
  <si>
    <t xml:space="preserve">AGT-15</t>
  </si>
  <si>
    <t xml:space="preserve">Single / Back</t>
  </si>
  <si>
    <t xml:space="preserve">Back returns to the picker</t>
  </si>
  <si>
    <t xml:space="preserve">Mid-creation, unsaved changes.</t>
  </si>
  <si>
    <t xml:space="preserve">1) Click '← Pick another'.</t>
  </si>
  <si>
    <t xml:space="preserve">If dirty &amp; unsaved, returns to the archetype/picker with a blank draft (lets you choose a different agent).</t>
  </si>
  <si>
    <t xml:space="preserve">AGT-16</t>
  </si>
  <si>
    <t xml:space="preserve">Single / Record</t>
  </si>
  <si>
    <t xml:space="preserve">Track record headline</t>
  </si>
  <si>
    <t xml:space="preserve">An agent that has run.</t>
  </si>
  <si>
    <t xml:space="preserve">1) Read the agent card headline.
2) Open Blueprint &gt; Track record.</t>
  </si>
  <si>
    <t xml:space="preserve">Card shows 'missions · clean %'; Track record lists per-run sources/summaries by source (chat/team/scheduled/webhook/handoff/swarm).</t>
  </si>
  <si>
    <t xml:space="preserve">AGT-17</t>
  </si>
  <si>
    <t xml:space="preserve">Single / Versions</t>
  </si>
  <si>
    <t xml:space="preserve">Version history</t>
  </si>
  <si>
    <t xml:space="preserve">An edited agent.</t>
  </si>
  <si>
    <t xml:space="preserve">1) Blueprint &gt; Versions.</t>
  </si>
  <si>
    <t xml:space="preserve">Prior versions are listed and restorable.</t>
  </si>
  <si>
    <t xml:space="preserve">AGT-18</t>
  </si>
  <si>
    <t xml:space="preserve">Single / Export</t>
  </si>
  <si>
    <t xml:space="preserve">Export an agent</t>
  </si>
  <si>
    <t xml:space="preserve">A saved agent.</t>
  </si>
  <si>
    <t xml:space="preserve">1) Blueprint &gt; Export agent.</t>
  </si>
  <si>
    <t xml:space="preserve">Agent exports to a portable file.</t>
  </si>
  <si>
    <t xml:space="preserve">AGT-19</t>
  </si>
  <si>
    <t xml:space="preserve">Single / Run</t>
  </si>
  <si>
    <t xml:space="preserve">Run a single agent in chat</t>
  </si>
  <si>
    <t xml:space="preserve">1) Start a chat as that agent.
2) Give a real task.</t>
  </si>
  <si>
    <t xml:space="preserve">'Find 5 stats about EV adoption with sources'</t>
  </si>
  <si>
    <t xml:space="preserve">Agent answers using its own tools/model/knowledge; run logged to its track record.</t>
  </si>
  <si>
    <t xml:space="preserve">AGT-20</t>
  </si>
  <si>
    <t xml:space="preserve">Team</t>
  </si>
  <si>
    <t xml:space="preserve">Use a DEFAULT team instantly</t>
  </si>
  <si>
    <t xml:space="preserve">On Recruiter.</t>
  </si>
  <si>
    <t xml:space="preserve">1) Recruiter &gt; pick a default team.</t>
  </si>
  <si>
    <t xml:space="preserve">'Content team'</t>
  </si>
  <si>
    <t xml:space="preserve">Default teams are model-free and instant; members appear ready to hire.</t>
  </si>
  <si>
    <t xml:space="preserve">AGT-21</t>
  </si>
  <si>
    <t xml:space="preserve">Team-wide settings apply at hire</t>
  </si>
  <si>
    <t xml:space="preserve">Recruiter proposal open.</t>
  </si>
  <si>
    <t xml:space="preserve">1) Set team capabilities, pinned model, autonomy, signature plays, and knowledge.
2) Hire.</t>
  </si>
  <si>
    <t xml:space="preserve">Pin a model + enable Files for whole team</t>
  </si>
  <si>
    <t xml:space="preserve">Every member is created with the team-wide tools/model/autonomy/pins/knowledge.</t>
  </si>
  <si>
    <t xml:space="preserve">AGT-22</t>
  </si>
  <si>
    <t xml:space="preserve">Org-chart controls</t>
  </si>
  <si>
    <t xml:space="preserve">1) Use Hire/Dismiss in the card top-right.
2) Toggle Relay vs Managed shape.</t>
  </si>
  <si>
    <t xml:space="preserve">Members can be added/removed; the team shape toggles; layout is in tidy boxes (not text junk).</t>
  </si>
  <si>
    <t xml:space="preserve">AGT-23</t>
  </si>
  <si>
    <t xml:space="preserve">Team avatar</t>
  </si>
  <si>
    <t xml:space="preserve">Building a team.</t>
  </si>
  <si>
    <t xml:space="preserve">1) Click the camera on the team header.
2) Upload an image.</t>
  </si>
  <si>
    <t xml:space="preserve">Any image</t>
  </si>
  <si>
    <t xml:space="preserve">Team gets a custom avatar shown in lineups.</t>
  </si>
  <si>
    <t xml:space="preserve">AGT-24</t>
  </si>
  <si>
    <t xml:space="preserve">Run a team</t>
  </si>
  <si>
    <t xml:space="preserve">A hired team.</t>
  </si>
  <si>
    <t xml:space="preserve">1) Give a brief needing multiple roles.</t>
  </si>
  <si>
    <t xml:space="preserve">'Plan + write a 5-email drip'</t>
  </si>
  <si>
    <t xml:space="preserve">Members collaborate/hand off; combined deliverable produced.</t>
  </si>
  <si>
    <t xml:space="preserve">AGT-25</t>
  </si>
  <si>
    <t xml:space="preserve">Swarm</t>
  </si>
  <si>
    <t xml:space="preserve">Run one agent over a list (parallel)</t>
  </si>
  <si>
    <t xml:space="preserve">An agent with the Swarm (⧉) button.</t>
  </si>
  <si>
    <t xml:space="preserve">1) Agents tab &gt; click Swarm (⧉) on an agent card.
2) Paste a list, one item per line.
3) Write a brief containing {item}.
4) Pick parallelism and Run.</t>
  </si>
  <si>
    <t xml:space="preserve">List of 8 cafés; brief 'Profile {item}: hours, vibe, price'</t>
  </si>
  <si>
    <t xml:space="preserve">Each item runs in parallel; a SINGLE compiled report is produced (one profile per item); copyable at the end.</t>
  </si>
  <si>
    <t xml:space="preserve">AGT-26</t>
  </si>
  <si>
    <t xml:space="preserve">Protection</t>
  </si>
  <si>
    <t xml:space="preserve">Protected agents cannot be deleted</t>
  </si>
  <si>
    <t xml:space="preserve">EdgeTrader agents present.</t>
  </si>
  <si>
    <t xml:space="preserve">1) Try to delete an ET agent (id agent_et_…).</t>
  </si>
  <si>
    <t xml:space="preserve">Trash hidden on card+row for ET agents; removeAgent guard alerts; ET agents auto-file into the 'Edge Trader' folder.</t>
  </si>
  <si>
    <t xml:space="preserve">AGT-27</t>
  </si>
  <si>
    <t xml:space="preserve">Folders</t>
  </si>
  <si>
    <t xml:space="preserve">Organize agents into folders</t>
  </si>
  <si>
    <t xml:space="preserve">Several agents exist.</t>
  </si>
  <si>
    <t xml:space="preserve">1) Create a folder; move agents in.</t>
  </si>
  <si>
    <t xml:space="preserve">Agents group under folders; user re-filing sticks.</t>
  </si>
  <si>
    <t xml:space="preserve">  Studio</t>
  </si>
  <si>
    <t xml:space="preserve">  Studio creative suite (rebuilt today) — Create/Gallery/Guide, lenses, Design DNA, Surprise, Variations, Crew, preview, Gallery, Send-to-Workroom.</t>
  </si>
  <si>
    <t xml:space="preserve">STD-01</t>
  </si>
  <si>
    <t xml:space="preserve">Prompt-only creation (the hero)</t>
  </si>
  <si>
    <t xml:space="preserve">Studio &gt; Create tab.</t>
  </si>
  <si>
    <t xml:space="preserve">1) Type only a description in the big prompt bar (no lens).
2) Create.</t>
  </si>
  <si>
    <t xml:space="preserve">'a tip &amp; bill-split calculator with a clean dark UI'</t>
  </si>
  <si>
    <t xml:space="preserve">Madav forges a live, runnable preview from the prompt alone; the prompt is the hero (no lens required).</t>
  </si>
  <si>
    <t xml:space="preserve">STD-02</t>
  </si>
  <si>
    <t xml:space="preserve">Create / Lens</t>
  </si>
  <si>
    <t xml:space="preserve">Pick a lens + type</t>
  </si>
  <si>
    <t xml:space="preserve">Create tab.</t>
  </si>
  <si>
    <t xml:space="preserve">1) Click a lens (App/site).
2) Pick a type.
3) Describe.
4) Create.</t>
  </si>
  <si>
    <t xml:space="preserve">Lens 'App / site', type 'Dashboard': 'habit tracker with weekly streak chart'</t>
  </si>
  <si>
    <t xml:space="preserve">Output matches the lens format (self-contained HTML/React); type seeds the structure.</t>
  </si>
  <si>
    <t xml:space="preserve">STD-03</t>
  </si>
  <si>
    <t xml:space="preserve">Each lens outputs the right format</t>
  </si>
  <si>
    <t xml:space="preserve">Run one of EACH lens and confirm the output format:
- App/site -&gt; HTML/React page
- Tool -&gt; interactive single-file tool
- Game -&gt; playable HTML game
- Visual -&gt; HTML/SVG/Canvas
- Document -&gt; Markdown
- Diagram -&gt; Mermaid
- Quiz -&gt; interactive scored HTML</t>
  </si>
  <si>
    <t xml:space="preserve">Game: 'one-button endless runner'; Diagram: 'flowchart of customer onboarding'; Doc: 'one-page product spec'</t>
  </si>
  <si>
    <t xml:space="preserve">Every lens produces its declared format and renders/downloads correctly. (Run 7 sub-checks.)</t>
  </si>
  <si>
    <t xml:space="preserve">STD-04</t>
  </si>
  <si>
    <t xml:space="preserve">Design DNA</t>
  </si>
  <si>
    <t xml:space="preserve">Apply a built-in style</t>
  </si>
  <si>
    <t xml:space="preserve">Create tab; a lens that supports style.</t>
  </si>
  <si>
    <t xml:space="preserve">1) Open Design DNA.
2) Pick a built-in style (Minimalist/Modern/Bold/Playful/Professional/Dark).
3) Create.</t>
  </si>
  <si>
    <t xml:space="preserve">Style 'Dark' on a landing page</t>
  </si>
  <si>
    <t xml:space="preserve">Output visibly follows the chosen style.</t>
  </si>
  <si>
    <t xml:space="preserve">STD-05</t>
  </si>
  <si>
    <t xml:space="preserve">Save a custom style preset</t>
  </si>
  <si>
    <t xml:space="preserve">1) Design DNA &gt; add/save a style.
2) Name it + rules.
3) Save.</t>
  </si>
  <si>
    <t xml:space="preserve">Name 'Brand A'; rules 'navy + gold, big serif headers'</t>
  </si>
  <si>
    <t xml:space="preserve">Preset saves to settings.studioStyles, selectable for future creations.</t>
  </si>
  <si>
    <t xml:space="preserve">STD-06</t>
  </si>
  <si>
    <t xml:space="preserve">Delete a style preset</t>
  </si>
  <si>
    <t xml:space="preserve">A custom preset exists.</t>
  </si>
  <si>
    <t xml:space="preserve">1) Delete the preset; confirm.</t>
  </si>
  <si>
    <t xml:space="preserve">Preset removed from the list and from settings.</t>
  </si>
  <si>
    <t xml:space="preserve">STD-07</t>
  </si>
  <si>
    <t xml:space="preserve">Surprise</t>
  </si>
  <si>
    <t xml:space="preserve">Surprise-me seed</t>
  </si>
  <si>
    <t xml:space="preserve">1) Click the Surprise (dice) control.</t>
  </si>
  <si>
    <t xml:space="preserve">A random creative seed populates the prompt and focuses the bar (e.g., 'a dashboard as if designed by a Swiss railway in 1965').</t>
  </si>
  <si>
    <t xml:space="preserve">STD-08</t>
  </si>
  <si>
    <t xml:space="preserve">Variations</t>
  </si>
  <si>
    <t xml:space="preserve">Generate N variations</t>
  </si>
  <si>
    <t xml:space="preserve">1) Set Variations to 2-4.
2) Create.</t>
  </si>
  <si>
    <t xml:space="preserve">Variations = 3 on 'a pricing page'</t>
  </si>
  <si>
    <t xml:space="preserve">Produces that many distinct takes to compare.</t>
  </si>
  <si>
    <t xml:space="preserve">STD-09</t>
  </si>
  <si>
    <t xml:space="preserve">Crew</t>
  </si>
  <si>
    <t xml:space="preserve">Crew pass</t>
  </si>
  <si>
    <t xml:space="preserve">1) Enable Crew.
2) Create.</t>
  </si>
  <si>
    <t xml:space="preserve">Crew on a complex app</t>
  </si>
  <si>
    <t xml:space="preserve">A multi-role pass refines the creation before preview.</t>
  </si>
  <si>
    <t xml:space="preserve">STD-10</t>
  </si>
  <si>
    <t xml:space="preserve">Preview</t>
  </si>
  <si>
    <t xml:space="preserve">Live runnable preview</t>
  </si>
  <si>
    <t xml:space="preserve">Any creation done.</t>
  </si>
  <si>
    <t xml:space="preserve">1) Inspect the preview pane; interact with it.</t>
  </si>
  <si>
    <t xml:space="preserve">Click buttons in the generated tool</t>
  </si>
  <si>
    <t xml:space="preserve">Preview renders and is actually runnable/interactive.</t>
  </si>
  <si>
    <t xml:space="preserve">STD-11</t>
  </si>
  <si>
    <t xml:space="preserve">Gallery</t>
  </si>
  <si>
    <t xml:space="preserve">Save a creation to Gallery</t>
  </si>
  <si>
    <t xml:space="preserve">A finished creation.</t>
  </si>
  <si>
    <t xml:space="preserve">1) Click Save-to-gallery (bookmark).</t>
  </si>
  <si>
    <t xml:space="preserve">Item saved to settings.studioGallery; appears on the Gallery tab.</t>
  </si>
  <si>
    <t xml:space="preserve">STD-12</t>
  </si>
  <si>
    <t xml:space="preserve">Open/preview a gallery item</t>
  </si>
  <si>
    <t xml:space="preserve">Gallery has items.</t>
  </si>
  <si>
    <t xml:space="preserve">1) Gallery tab &gt; open an item.</t>
  </si>
  <si>
    <t xml:space="preserve">Item previews/opens with its code intact.</t>
  </si>
  <si>
    <t xml:space="preserve">STD-13</t>
  </si>
  <si>
    <t xml:space="preserve">Download a creation</t>
  </si>
  <si>
    <t xml:space="preserve">Gallery item open.</t>
  </si>
  <si>
    <t xml:space="preserve">1) Download.
2) Confirm extension by kind.</t>
  </si>
  <si>
    <t xml:space="preserve">Download an HTML game</t>
  </si>
  <si>
    <t xml:space="preserve">Correct extension (.html/.svg/.md/.jsx/.mmd) and the file opens.</t>
  </si>
  <si>
    <t xml:space="preserve">STD-14</t>
  </si>
  <si>
    <t xml:space="preserve">Remix from gallery</t>
  </si>
  <si>
    <t xml:space="preserve">1) Click Remix.
2) Add a direction.</t>
  </si>
  <si>
    <t xml:space="preserve">'Keep layout, switch to light theme'</t>
  </si>
  <si>
    <t xml:space="preserve">Starts a new creation seeded with the existing code + your direction.</t>
  </si>
  <si>
    <t xml:space="preserve">STD-15</t>
  </si>
  <si>
    <t xml:space="preserve">Delete a gallery item</t>
  </si>
  <si>
    <t xml:space="preserve">1) Delete; confirm.</t>
  </si>
  <si>
    <t xml:space="preserve">Item removed from gallery and settings.</t>
  </si>
  <si>
    <t xml:space="preserve">STD-16</t>
  </si>
  <si>
    <t xml:space="preserve">Send to Workroom</t>
  </si>
  <si>
    <t xml:space="preserve">Send a creation to a room</t>
  </si>
  <si>
    <t xml:space="preserve">A creation + at least one room.</t>
  </si>
  <si>
    <t xml:space="preserve">1) Share (Send-to-Workroom) &gt; pick a room.</t>
  </si>
  <si>
    <t xml:space="preserve">Send the calculator to 'Q3 Launch'</t>
  </si>
  <si>
    <t xml:space="preserve">Creation is added to that room's knowledge/files (bridge.addKnowledgeText).</t>
  </si>
  <si>
    <t xml:space="preserve">STD-17</t>
  </si>
  <si>
    <t xml:space="preserve">Guide</t>
  </si>
  <si>
    <t xml:space="preserve">Studio Guide tab</t>
  </si>
  <si>
    <t xml:space="preserve">Studio.</t>
  </si>
  <si>
    <t xml:space="preserve">1) Open the Guide tab.</t>
  </si>
  <si>
    <t xml:space="preserve">Shows a tour + do's/don'ts + how-to (like Projects/Agents guides), agg-* styling.</t>
  </si>
  <si>
    <t xml:space="preserve">STD-18</t>
  </si>
  <si>
    <t xml:space="preserve">Help</t>
  </si>
  <si>
    <t xml:space="preserve">? HelpDots on every control</t>
  </si>
  <si>
    <t xml:space="preserve">Studio surfaces.</t>
  </si>
  <si>
    <t xml:space="preserve">1) Click each '?' dot (styles/surprise/variations/crew/gallery/export).</t>
  </si>
  <si>
    <t xml:space="preserve">Each opens a popover (title/what/more/when) sourced from SCREEN_HELP; Sage 'Explain this screen' covers them too.</t>
  </si>
  <si>
    <t xml:space="preserve">STD-19</t>
  </si>
  <si>
    <t xml:space="preserve">Examples</t>
  </si>
  <si>
    <t xml:space="preserve">Rotating example placeholder + chips</t>
  </si>
  <si>
    <t xml:space="preserve">Create tab, empty prompt.</t>
  </si>
  <si>
    <t xml:space="preserve">1) Watch the placeholder rotate.
2) Click an example chip.</t>
  </si>
  <si>
    <t xml:space="preserve">Chip: 'a 10-question quiz on world capitals that scores me'</t>
  </si>
  <si>
    <t xml:space="preserve">Placeholder cycles examples every few seconds; clicking a chip loads its lens/type/text.</t>
  </si>
  <si>
    <t xml:space="preserve">STD-20</t>
  </si>
  <si>
    <t xml:space="preserve">Styles + gallery survive restart</t>
  </si>
  <si>
    <t xml:space="preserve">Saved styles + gallery items.</t>
  </si>
  <si>
    <t xml:space="preserve">1) Fully restart the app.
2) Reopen Studio.</t>
  </si>
  <si>
    <t xml:space="preserve">studioStyles and studioGallery reload from the settings store.</t>
  </si>
  <si>
    <t xml:space="preserve">  Scheduler</t>
  </si>
  <si>
    <t xml:space="preserve">  Scheduler — recurring and one-off automated tasks, webhooks, run history.</t>
  </si>
  <si>
    <t xml:space="preserve">SCH-01</t>
  </si>
  <si>
    <t xml:space="preserve">Daily recurring task</t>
  </si>
  <si>
    <t xml:space="preserve">On Scheduler.</t>
  </si>
  <si>
    <t xml:space="preserve">1) New scheduled task.
2) Choose daily at a time.
3) Set the prompt/agent.
4) Save.</t>
  </si>
  <si>
    <t xml:space="preserve">'Every day at 6am give me a news briefing' (cron 0 6 * * *)</t>
  </si>
  <si>
    <t xml:space="preserve">Task is created with the right cron; appears in the list as scheduled.</t>
  </si>
  <si>
    <t xml:space="preserve">SCH-02</t>
  </si>
  <si>
    <t xml:space="preserve">One-off future run</t>
  </si>
  <si>
    <t xml:space="preserve">Scheduler.</t>
  </si>
  <si>
    <t xml:space="preserve">1) New task &gt; run once at a future time.</t>
  </si>
  <si>
    <t xml:space="preserve">'In 1 hour remind me to send the deck'</t>
  </si>
  <si>
    <t xml:space="preserve">A one-off fireAt task is created and will run once.</t>
  </si>
  <si>
    <t xml:space="preserve">SCH-03</t>
  </si>
  <si>
    <t xml:space="preserve">Agent</t>
  </si>
  <si>
    <t xml:space="preserve">Schedule an agent</t>
  </si>
  <si>
    <t xml:space="preserve">1) New task targeting an agent.</t>
  </si>
  <si>
    <t xml:space="preserve">'Each Monday, Researcher compiles competitor news'</t>
  </si>
  <si>
    <t xml:space="preserve">The agent runs on the schedule; output delivered.</t>
  </si>
  <si>
    <t xml:space="preserve">SCH-04</t>
  </si>
  <si>
    <t xml:space="preserve">Webhook</t>
  </si>
  <si>
    <t xml:space="preserve">Webhook trigger card</t>
  </si>
  <si>
    <t xml:space="preserve">1) Open the webhook card.
2) Reveal 'Show the raw command'.
3) Copy the example.</t>
  </si>
  <si>
    <t xml:space="preserve">Card is centered; raw curl is collapsed behind a details reveal; Copy works.</t>
  </si>
  <si>
    <t xml:space="preserve">SCH-05</t>
  </si>
  <si>
    <t xml:space="preserve">Edit</t>
  </si>
  <si>
    <t xml:space="preserve">Edit a schedule</t>
  </si>
  <si>
    <t xml:space="preserve">An existing task.</t>
  </si>
  <si>
    <t xml:space="preserve">1) Change time/prompt.
2) Save.</t>
  </si>
  <si>
    <t xml:space="preserve">Move 6am -&gt; 7am</t>
  </si>
  <si>
    <t xml:space="preserve">Change persists and next-run updates.</t>
  </si>
  <si>
    <t xml:space="preserve">SCH-06</t>
  </si>
  <si>
    <t xml:space="preserve">Disable</t>
  </si>
  <si>
    <t xml:space="preserve">Pause / disable</t>
  </si>
  <si>
    <t xml:space="preserve">An active task.</t>
  </si>
  <si>
    <t xml:space="preserve">1) Pause it.</t>
  </si>
  <si>
    <t xml:space="preserve">Task stops firing while paused; can be resumed.</t>
  </si>
  <si>
    <t xml:space="preserve">SCH-07</t>
  </si>
  <si>
    <t xml:space="preserve">History</t>
  </si>
  <si>
    <t xml:space="preserve">View run history</t>
  </si>
  <si>
    <t xml:space="preserve">A task that has fired.</t>
  </si>
  <si>
    <t xml:space="preserve">1) Open run history.</t>
  </si>
  <si>
    <t xml:space="preserve">Past runs listed with status/output.</t>
  </si>
  <si>
    <t xml:space="preserve">SCH-08</t>
  </si>
  <si>
    <t xml:space="preserve">Delete</t>
  </si>
  <si>
    <t xml:space="preserve">Delete a schedule</t>
  </si>
  <si>
    <t xml:space="preserve">A test task.</t>
  </si>
  <si>
    <t xml:space="preserve">Task removed; no further runs.</t>
  </si>
  <si>
    <t xml:space="preserve">SCH-09</t>
  </si>
  <si>
    <t xml:space="preserve">Organization</t>
  </si>
  <si>
    <t xml:space="preserve">Scheduler grouping/org</t>
  </si>
  <si>
    <t xml:space="preserve">Several tasks.</t>
  </si>
  <si>
    <t xml:space="preserve">1) Review grouping/sorting.</t>
  </si>
  <si>
    <t xml:space="preserve">Tasks are organized clearly (per the scheduler organization update).</t>
  </si>
  <si>
    <t xml:space="preserve">  Playbook</t>
  </si>
  <si>
    <t xml:space="preserve">  Playbook (formerly Skills) — reusable 'plays', pinning, auto-match, Forge, chains.</t>
  </si>
  <si>
    <t xml:space="preserve">PLB-01</t>
  </si>
  <si>
    <t xml:space="preserve">View</t>
  </si>
  <si>
    <t xml:space="preserve">Browse plays as cards</t>
  </si>
  <si>
    <t xml:space="preserve">On Playbook.</t>
  </si>
  <si>
    <t xml:space="preserve">1) Open Playbook.</t>
  </si>
  <si>
    <t xml:space="preserve">Every learned move shows as a play card with a usage line.</t>
  </si>
  <si>
    <t xml:space="preserve">PLB-02</t>
  </si>
  <si>
    <t xml:space="preserve">Run</t>
  </si>
  <si>
    <t xml:space="preserve">Run a play on demand</t>
  </si>
  <si>
    <t xml:space="preserve">A play exists.</t>
  </si>
  <si>
    <t xml:space="preserve">1) In chat type /&lt;playname&gt;.</t>
  </si>
  <si>
    <t xml:space="preserve">/weekly-digest</t>
  </si>
  <si>
    <t xml:space="preserve">The play runs on demand.</t>
  </si>
  <si>
    <t xml:space="preserve">PLB-03</t>
  </si>
  <si>
    <t xml:space="preserve">Auto-match</t>
  </si>
  <si>
    <t xml:space="preserve">Auto-match a play to a task</t>
  </si>
  <si>
    <t xml:space="preserve">A matching play exists.</t>
  </si>
  <si>
    <t xml:space="preserve">1) Give a task that matches a play without naming it.</t>
  </si>
  <si>
    <t xml:space="preserve">'Make this week's digest'</t>
  </si>
  <si>
    <t xml:space="preserve">The matcher picks and runs the right play automatically.</t>
  </si>
  <si>
    <t xml:space="preserve">PLB-04</t>
  </si>
  <si>
    <t xml:space="preserve">Pin / agent</t>
  </si>
  <si>
    <t xml:space="preserve">Pin a play to an agent</t>
  </si>
  <si>
    <t xml:space="preserve">A play + an agent.</t>
  </si>
  <si>
    <t xml:space="preserve">1) Pin the play to an agent.
2) Run that agent.</t>
  </si>
  <si>
    <t xml:space="preserve">Pin 'summarize-thread' to Researcher</t>
  </si>
  <si>
    <t xml:space="preserve">The pinned play is always in that agent's hands, pre-loaded each mission.</t>
  </si>
  <si>
    <t xml:space="preserve">PLB-05</t>
  </si>
  <si>
    <t xml:space="preserve">Pin / room</t>
  </si>
  <si>
    <t xml:space="preserve">Team playbook (pin to a room)</t>
  </si>
  <si>
    <t xml:space="preserve">A room with a crew.</t>
  </si>
  <si>
    <t xml:space="preserve">1) Pin a play to the room.</t>
  </si>
  <si>
    <t xml:space="preserve">Play applies to every member, on top of each member's own pins.</t>
  </si>
  <si>
    <t xml:space="preserve">PLB-06</t>
  </si>
  <si>
    <t xml:space="preserve">Usage</t>
  </si>
  <si>
    <t xml:space="preserve">Usage counter &amp; cleanup</t>
  </si>
  <si>
    <t xml:space="preserve">Plays with history.</t>
  </si>
  <si>
    <t xml:space="preserve">1) Read each card's 'used N× · last by …'.</t>
  </si>
  <si>
    <t xml:space="preserve">Counts show workhorses vs dead weight ('used 0× · 3 months') for pruning.</t>
  </si>
  <si>
    <t xml:space="preserve">PLB-07</t>
  </si>
  <si>
    <t xml:space="preserve">Fallback</t>
  </si>
  <si>
    <t xml:space="preserve">Missing/renamed pin falls back</t>
  </si>
  <si>
    <t xml:space="preserve">A pinned play that is then renamed/removed.</t>
  </si>
  <si>
    <t xml:space="preserve">1) Rename a pinned play.
2) Run the agent.</t>
  </si>
  <si>
    <t xml:space="preserve">Run silently falls back to the normal Playbook; nothing breaks.</t>
  </si>
  <si>
    <t xml:space="preserve">PLB-08</t>
  </si>
  <si>
    <t xml:space="preserve">Forge</t>
  </si>
  <si>
    <t xml:space="preserve">Forge a play from instinct</t>
  </si>
  <si>
    <t xml:space="preserve">Forge available.</t>
  </si>
  <si>
    <t xml:space="preserve">1) Trigger a forge draft.
2) Review and Approve.</t>
  </si>
  <si>
    <t xml:space="preserve">Draft becomes a play in the Playbook after approval.</t>
  </si>
  <si>
    <t xml:space="preserve">PLB-09</t>
  </si>
  <si>
    <t xml:space="preserve">Import</t>
  </si>
  <si>
    <t xml:space="preserve">Import a play</t>
  </si>
  <si>
    <t xml:space="preserve">A shared play/agent.</t>
  </si>
  <si>
    <t xml:space="preserve">1) Click 'Import play'.</t>
  </si>
  <si>
    <t xml:space="preserve">Play (and its agent if bundled) appear ready to use.</t>
  </si>
  <si>
    <t xml:space="preserve">PLB-10</t>
  </si>
  <si>
    <t xml:space="preserve">Delete a play</t>
  </si>
  <si>
    <t xml:space="preserve">A test play.</t>
  </si>
  <si>
    <t xml:space="preserve">1) Delete; confirm path shown.</t>
  </si>
  <si>
    <t xml:space="preserve">Play removed from the Playbook.</t>
  </si>
  <si>
    <t xml:space="preserve">PLB-11</t>
  </si>
  <si>
    <t xml:space="preserve">Playbook Guide / How to activate</t>
  </si>
  <si>
    <t xml:space="preserve">Playbook.</t>
  </si>
  <si>
    <t xml:space="preserve">1) Open the guide / 'How to activate' tab.</t>
  </si>
  <si>
    <t xml:space="preserve">Explains plays, pinning, team playbooks, and routes to run a play.</t>
  </si>
  <si>
    <t xml:space="preserve">PLB-12</t>
  </si>
  <si>
    <t xml:space="preserve">Power</t>
  </si>
  <si>
    <t xml:space="preserve">Chains / needs / health</t>
  </si>
  <si>
    <t xml:space="preserve">Advanced plays.</t>
  </si>
  <si>
    <t xml:space="preserve">1) Inspect a chained play and its health.</t>
  </si>
  <si>
    <t xml:space="preserve">Chains, needs (prerequisites), auto-pin and health indicators behave as documented.</t>
  </si>
  <si>
    <t xml:space="preserve">  Connectors</t>
  </si>
  <si>
    <t xml:space="preserve">  Connectors — connect external tools and use them in chat, rooms, and agents.</t>
  </si>
  <si>
    <t xml:space="preserve">CON-01</t>
  </si>
  <si>
    <t xml:space="preserve">Browse</t>
  </si>
  <si>
    <t xml:space="preserve">Browse the connector gallery</t>
  </si>
  <si>
    <t xml:space="preserve">On Connectors.</t>
  </si>
  <si>
    <t xml:space="preserve">1) Open Connectors.</t>
  </si>
  <si>
    <t xml:space="preserve">Gallery shows connectors with bundled brand icons (white tiles), no network needed to render.</t>
  </si>
  <si>
    <t xml:space="preserve">CON-02</t>
  </si>
  <si>
    <t xml:space="preserve">Connect</t>
  </si>
  <si>
    <t xml:space="preserve">Connect a connector</t>
  </si>
  <si>
    <t xml:space="preserve">A connector available.</t>
  </si>
  <si>
    <t xml:space="preserve">1) Pick one (e.g., Gmail) &gt; Connect.
2) Approve in the popup that opens.</t>
  </si>
  <si>
    <t xml:space="preserve">Gmail / Google</t>
  </si>
  <si>
    <t xml:space="preserve">Auth flow completes; connector shows as connected. (You approve the OAuth consent yourself.)</t>
  </si>
  <si>
    <t xml:space="preserve">CON-03</t>
  </si>
  <si>
    <t xml:space="preserve">Use in chat</t>
  </si>
  <si>
    <t xml:space="preserve">Use a connector in chat</t>
  </si>
  <si>
    <t xml:space="preserve">A connected connector.</t>
  </si>
  <si>
    <t xml:space="preserve">1) Ask a question that needs it.</t>
  </si>
  <si>
    <t xml:space="preserve">'Search my email for the launch thread'</t>
  </si>
  <si>
    <t xml:space="preserve">Madav calls the connector tool and returns results with a source/citation.</t>
  </si>
  <si>
    <t xml:space="preserve">CON-04</t>
  </si>
  <si>
    <t xml:space="preserve">Per-room</t>
  </si>
  <si>
    <t xml:space="preserve">Scope a connector to a room</t>
  </si>
  <si>
    <t xml:space="preserve">Connected connector + a room.</t>
  </si>
  <si>
    <t xml:space="preserve">1) Enable it for one room only.</t>
  </si>
  <si>
    <t xml:space="preserve">Connector works in that room; other rooms unaffected.</t>
  </si>
  <si>
    <t xml:space="preserve">CON-05</t>
  </si>
  <si>
    <t xml:space="preserve">An agent uses a connector</t>
  </si>
  <si>
    <t xml:space="preserve">Agent with Connectors capability on.</t>
  </si>
  <si>
    <t xml:space="preserve">1) Run an agent task needing the connector.</t>
  </si>
  <si>
    <t xml:space="preserve">'Pull my 5 newest Asana tasks'</t>
  </si>
  <si>
    <t xml:space="preserve">Agent invokes the connector during its run.</t>
  </si>
  <si>
    <t xml:space="preserve">CON-06</t>
  </si>
  <si>
    <t xml:space="preserve">Registry</t>
  </si>
  <si>
    <t xml:space="preserve">Search the connector registry</t>
  </si>
  <si>
    <t xml:space="preserve">No suitable connector installed.</t>
  </si>
  <si>
    <t xml:space="preserve">1) Ask for a tool you don't have.</t>
  </si>
  <si>
    <t xml:space="preserve">'I want to post to Slack'</t>
  </si>
  <si>
    <t xml:space="preserve">Madav searches the registry and suggests relevant connectors to add.</t>
  </si>
  <si>
    <t xml:space="preserve">CON-07</t>
  </si>
  <si>
    <t xml:space="preserve">Disconnect</t>
  </si>
  <si>
    <t xml:space="preserve">Disconnect a connector</t>
  </si>
  <si>
    <t xml:space="preserve">1) Disconnect it.</t>
  </si>
  <si>
    <t xml:space="preserve">Connector returns to disconnected; tools no longer offered.</t>
  </si>
  <si>
    <t xml:space="preserve">CON-08</t>
  </si>
  <si>
    <t xml:space="preserve">Offline icons</t>
  </si>
  <si>
    <t xml:space="preserve">Bundled icons render offline</t>
  </si>
  <si>
    <t xml:space="preserve">No network.</t>
  </si>
  <si>
    <t xml:space="preserve">1) Open Connectors with network off.</t>
  </si>
  <si>
    <t xml:space="preserve">Brand icons still render (bundled, zero network).</t>
  </si>
  <si>
    <t xml:space="preserve">  Lets Chat</t>
  </si>
  <si>
    <t xml:space="preserve">  Let's Chat — the base conversational surface and its model/file/voice features.</t>
  </si>
  <si>
    <t xml:space="preserve">CHT-01</t>
  </si>
  <si>
    <t xml:space="preserve">Basic</t>
  </si>
  <si>
    <t xml:space="preserve">Chat on a free model</t>
  </si>
  <si>
    <t xml:space="preserve">Logged in; Let's Chat.</t>
  </si>
  <si>
    <t xml:space="preserve">1) Ask a general question.</t>
  </si>
  <si>
    <t xml:space="preserve">'Explain RAG in 3 sentences'</t>
  </si>
  <si>
    <t xml:space="preserve">Answer streams from the selected free model.</t>
  </si>
  <si>
    <t xml:space="preserve">CHT-02</t>
  </si>
  <si>
    <t xml:space="preserve">Model</t>
  </si>
  <si>
    <t xml:space="preserve">Switch models in the selector</t>
  </si>
  <si>
    <t xml:space="preserve">Let's Chat.</t>
  </si>
  <si>
    <t xml:space="preserve">1) Open the model selector.
2) Pick a different provider/model.</t>
  </si>
  <si>
    <t xml:space="preserve">OpenRouter -&gt; another model</t>
  </si>
  <si>
    <t xml:space="preserve">Active model changes; next reply uses it; online status reflects it.</t>
  </si>
  <si>
    <t xml:space="preserve">CHT-03</t>
  </si>
  <si>
    <t xml:space="preserve">Attach</t>
  </si>
  <si>
    <t xml:space="preserve">Attach a file / folder</t>
  </si>
  <si>
    <t xml:space="preserve">1) Use '+' to attach a file or pick a folder.
2) Ask about it.</t>
  </si>
  <si>
    <t xml:space="preserve">Attach a CSV: 'what are the top rows?'</t>
  </si>
  <si>
    <t xml:space="preserve">File/folder is read; the answer reflects its content (Excel/CSV parsed).</t>
  </si>
  <si>
    <t xml:space="preserve">CHT-04</t>
  </si>
  <si>
    <t xml:space="preserve">Voice</t>
  </si>
  <si>
    <t xml:space="preserve">Voice input</t>
  </si>
  <si>
    <t xml:space="preserve">Mic permission granted.</t>
  </si>
  <si>
    <t xml:space="preserve">1) Click the mic; speak; stop.</t>
  </si>
  <si>
    <t xml:space="preserve">Speak a question</t>
  </si>
  <si>
    <t xml:space="preserve">Speech is transcribed into the composer (Windows mic supported).</t>
  </si>
  <si>
    <t xml:space="preserve">CHT-05</t>
  </si>
  <si>
    <t xml:space="preserve">Image</t>
  </si>
  <si>
    <t xml:space="preserve">Image generation from the selector</t>
  </si>
  <si>
    <t xml:space="preserve">Image-capable path.</t>
  </si>
  <si>
    <t xml:space="preserve">1) Request an image.</t>
  </si>
  <si>
    <t xml:space="preserve">'Generate a minimalist fox logo'</t>
  </si>
  <si>
    <t xml:space="preserve">An image is generated and shown inline.</t>
  </si>
  <si>
    <t xml:space="preserve">CHT-06</t>
  </si>
  <si>
    <t xml:space="preserve">Memory</t>
  </si>
  <si>
    <t xml:space="preserve">Cross-chat memory</t>
  </si>
  <si>
    <t xml:space="preserve">Memory enabled.</t>
  </si>
  <si>
    <t xml:space="preserve">1) State a preference in one chat.
2) Start a new chat and rely on it.</t>
  </si>
  <si>
    <t xml:space="preserve">'I prefer metric units' then later 'how tall is Everest?'</t>
  </si>
  <si>
    <t xml:space="preserve">Later chat respects the remembered preference.</t>
  </si>
  <si>
    <t xml:space="preserve">CHT-07</t>
  </si>
  <si>
    <t xml:space="preserve">Session</t>
  </si>
  <si>
    <t xml:space="preserve">New session</t>
  </si>
  <si>
    <t xml:space="preserve">Any chat open.</t>
  </si>
  <si>
    <t xml:space="preserve">1) Click 'New session'/'New chat'.</t>
  </si>
  <si>
    <t xml:space="preserve">A fresh chat starts; prior chat saved to Recents.</t>
  </si>
  <si>
    <t xml:space="preserve">CHT-08</t>
  </si>
  <si>
    <t xml:space="preserve">Search</t>
  </si>
  <si>
    <t xml:space="preserve">Search chats</t>
  </si>
  <si>
    <t xml:space="preserve">Several chats exist.</t>
  </si>
  <si>
    <t xml:space="preserve">1) Use the Recents search box.</t>
  </si>
  <si>
    <t xml:space="preserve">Search a keyword</t>
  </si>
  <si>
    <t xml:space="preserve">Matching chats are filtered.</t>
  </si>
  <si>
    <t xml:space="preserve">CHT-09</t>
  </si>
  <si>
    <t xml:space="preserve">Stop</t>
  </si>
  <si>
    <t xml:space="preserve">Stop generation</t>
  </si>
  <si>
    <t xml:space="preserve">A long answer streaming.</t>
  </si>
  <si>
    <t xml:space="preserve">1) Click Stop.</t>
  </si>
  <si>
    <t xml:space="preserve">Generation halts promptly; partial output retained.</t>
  </si>
  <si>
    <t xml:space="preserve">CHT-10</t>
  </si>
  <si>
    <t xml:space="preserve">Permission</t>
  </si>
  <si>
    <t xml:space="preserve">Permission mode</t>
  </si>
  <si>
    <t xml:space="preserve">Agentic actions possible.</t>
  </si>
  <si>
    <t xml:space="preserve">1) Change the permission dropdown.
2) Trigger a side-effect.</t>
  </si>
  <si>
    <t xml:space="preserve">Set to ask-first</t>
  </si>
  <si>
    <t xml:space="preserve">Side-effectful actions respect the chosen permission mode.</t>
  </si>
  <si>
    <t xml:space="preserve">CHT-11</t>
  </si>
  <si>
    <t xml:space="preserve">Tool cards</t>
  </si>
  <si>
    <t xml:space="preserve">Tool cards &amp; command translation</t>
  </si>
  <si>
    <t xml:space="preserve">A tool is used.</t>
  </si>
  <si>
    <t xml:space="preserve">1) Ask something that triggers a tool.</t>
  </si>
  <si>
    <t xml:space="preserve">'List files here'</t>
  </si>
  <si>
    <t xml:space="preserve">Each tool use renders a readable ToolCard with a plain-language translation.</t>
  </si>
  <si>
    <t xml:space="preserve">CHT-12</t>
  </si>
  <si>
    <t xml:space="preserve">Tutor</t>
  </si>
  <si>
    <t xml:space="preserve">Study &amp; Learn tutor</t>
  </si>
  <si>
    <t xml:space="preserve">Tutor feature on.</t>
  </si>
  <si>
    <t xml:space="preserve">1) Start a Study &amp; Learn session.</t>
  </si>
  <si>
    <t xml:space="preserve">'Teach me binary search'</t>
  </si>
  <si>
    <t xml:space="preserve">Tutor walks through the topic interactively.</t>
  </si>
  <si>
    <t xml:space="preserve">CHT-13</t>
  </si>
  <si>
    <t xml:space="preserve">Canvas</t>
  </si>
  <si>
    <t xml:space="preserve">Editable canvas</t>
  </si>
  <si>
    <t xml:space="preserve">Canvas output.</t>
  </si>
  <si>
    <t xml:space="preserve">1) Generate a doc; edit it in the canvas.</t>
  </si>
  <si>
    <t xml:space="preserve">Canvas content is editable and persists in the chat.</t>
  </si>
  <si>
    <t xml:space="preserve">CHT-14</t>
  </si>
  <si>
    <t xml:space="preserve">Viewport</t>
  </si>
  <si>
    <t xml:space="preserve">Window never scrolls; content area scrolls</t>
  </si>
  <si>
    <t xml:space="preserve">Long chat.</t>
  </si>
  <si>
    <t xml:space="preserve">1) Scroll a long conversation.</t>
  </si>
  <si>
    <t xml:space="preserve">Only the content area scrolls; the page/frame stays locked (no mid-list cutoff).</t>
  </si>
  <si>
    <t xml:space="preserve">  Lets Build</t>
  </si>
  <si>
    <t xml:space="preserve">  Let's Build (code mode) — explore -&gt; edit -&gt; run on a local folder or GitHub repo, with examples.</t>
  </si>
  <si>
    <t xml:space="preserve">BLD-01</t>
  </si>
  <si>
    <t xml:space="preserve">Open</t>
  </si>
  <si>
    <t xml:space="preserve">Open Let's Build + pick a folder</t>
  </si>
  <si>
    <t xml:space="preserve">Desktop app.</t>
  </si>
  <si>
    <t xml:space="preserve">1) Top nav &gt; Let's Build.
2) 'Select Folder' &gt; choose a project.</t>
  </si>
  <si>
    <t xml:space="preserve">Select a small repo folder</t>
  </si>
  <si>
    <t xml:space="preserve">Folder loads as the working directory; composer is tuned for code.</t>
  </si>
  <si>
    <t xml:space="preserve">BLD-02</t>
  </si>
  <si>
    <t xml:space="preserve">GitHub</t>
  </si>
  <si>
    <t xml:space="preserve">Add a GitHub repo</t>
  </si>
  <si>
    <t xml:space="preserve">Let's Build.</t>
  </si>
  <si>
    <t xml:space="preserve">1) Use the env picker &gt; add a GitHub repo.</t>
  </si>
  <si>
    <t xml:space="preserve">A public repo URL</t>
  </si>
  <si>
    <t xml:space="preserve">Repo is attached as the working context (GitHub lives in Build).</t>
  </si>
  <si>
    <t xml:space="preserve">BLD-03</t>
  </si>
  <si>
    <t xml:space="preserve">Explore</t>
  </si>
  <si>
    <t xml:space="preserve">Explore the codebase (example)</t>
  </si>
  <si>
    <t xml:space="preserve">A folder is loaded.</t>
  </si>
  <si>
    <t xml:space="preserve">1) Ask a read-only question.</t>
  </si>
  <si>
    <t xml:space="preserve">'What does this project do and where is the entry point?'</t>
  </si>
  <si>
    <t xml:space="preserve">Madav reads files and answers with real file references; no edits made.</t>
  </si>
  <si>
    <t xml:space="preserve">BLD-04</t>
  </si>
  <si>
    <t xml:space="preserve">Make a small edit (example)</t>
  </si>
  <si>
    <t xml:space="preserve">A loaded folder + permission set.</t>
  </si>
  <si>
    <t xml:space="preserve">1) Ask for a concrete change.
2) Approve the edit.</t>
  </si>
  <si>
    <t xml:space="preserve">'Add a --version flag that prints 1.0.0 to the CLI'</t>
  </si>
  <si>
    <t xml:space="preserve">Edit is proposed, you approve, the file is changed correctly.</t>
  </si>
  <si>
    <t xml:space="preserve">BLD-05</t>
  </si>
  <si>
    <t xml:space="preserve">Run a command / tests</t>
  </si>
  <si>
    <t xml:space="preserve">A loaded project.</t>
  </si>
  <si>
    <t xml:space="preserve">1) Ask to run the build or tests.</t>
  </si>
  <si>
    <t xml:space="preserve">'Run the test suite and summarize failures'</t>
  </si>
  <si>
    <t xml:space="preserve">Command runs; output is captured and summarized.</t>
  </si>
  <si>
    <t xml:space="preserve">BLD-06</t>
  </si>
  <si>
    <t xml:space="preserve">Permission gating on writes</t>
  </si>
  <si>
    <t xml:space="preserve">Permission = ask-first.</t>
  </si>
  <si>
    <t xml:space="preserve">1) Request an edit.</t>
  </si>
  <si>
    <t xml:space="preserve">Write is blocked until you approve; read-only actions proceed.</t>
  </si>
  <si>
    <t xml:space="preserve">BLD-07</t>
  </si>
  <si>
    <t xml:space="preserve">Undo</t>
  </si>
  <si>
    <t xml:space="preserve">Undo the last edit</t>
  </si>
  <si>
    <t xml:space="preserve">After an edit.</t>
  </si>
  <si>
    <t xml:space="preserve">1) Ask to undo / use undo.</t>
  </si>
  <si>
    <t xml:space="preserve">'Undo that change'</t>
  </si>
  <si>
    <t xml:space="preserve">Last edit is reverted cleanly.</t>
  </si>
  <si>
    <t xml:space="preserve">BLD-08</t>
  </si>
  <si>
    <t xml:space="preserve">Multi-file</t>
  </si>
  <si>
    <t xml:space="preserve">Multi-file change</t>
  </si>
  <si>
    <t xml:space="preserve">1) Ask for a change spanning files.</t>
  </si>
  <si>
    <t xml:space="preserve">'Rename function foo to bar everywhere'</t>
  </si>
  <si>
    <t xml:space="preserve">All affected files updated consistently.</t>
  </si>
  <si>
    <t xml:space="preserve">BLD-09</t>
  </si>
  <si>
    <t xml:space="preserve">Diff</t>
  </si>
  <si>
    <t xml:space="preserve">Review a diff</t>
  </si>
  <si>
    <t xml:space="preserve">After edits.</t>
  </si>
  <si>
    <t xml:space="preserve">1) Generate/inspect the diff.</t>
  </si>
  <si>
    <t xml:space="preserve">A readable diff of changes is shown before/after applying.</t>
  </si>
  <si>
    <t xml:space="preserve">BLD-10</t>
  </si>
  <si>
    <t xml:space="preserve">End-to-end</t>
  </si>
  <si>
    <t xml:space="preserve">Build a small feature (example)</t>
  </si>
  <si>
    <t xml:space="preserve">Empty or small folder.</t>
  </si>
  <si>
    <t xml:space="preserve">1) Ask for a complete small feature.
2) Run it.</t>
  </si>
  <si>
    <t xml:space="preserve">'Create a Node script that fetches a URL and prints the title tag'</t>
  </si>
  <si>
    <t xml:space="preserve">Files are created, the script runs and produces the expected output.</t>
  </si>
  <si>
    <t xml:space="preserve">  Recorders</t>
  </si>
  <si>
    <t xml:space="preserve">  Record Website (flow) and Record Desktop (UIA) -&gt; skill drafts in the Playbook.</t>
  </si>
  <si>
    <t xml:space="preserve">REC-01</t>
  </si>
  <si>
    <t xml:space="preserve">Website</t>
  </si>
  <si>
    <t xml:space="preserve">Record a website flow</t>
  </si>
  <si>
    <t xml:space="preserve">1) Start 'Record website' (Skills/Playbook or the global Record control).
2) A recorder window opens.
3) Perform a few steps on a site.
4) Close the recorder window.</t>
  </si>
  <si>
    <t xml:space="preserve">Record: open a site, search, open first result</t>
  </si>
  <si>
    <t xml:space="preserve">Recorder window opens; closing it FINISHES the recording and a flow skill draft is announced.</t>
  </si>
  <si>
    <t xml:space="preserve">REC-02</t>
  </si>
  <si>
    <t xml:space="preserve">Status chip mirrors reality</t>
  </si>
  <si>
    <t xml:space="preserve">A web recording running.</t>
  </si>
  <si>
    <t xml:space="preserve">1) Watch the online-area chip while recording.</t>
  </si>
  <si>
    <t xml:space="preserve">Chip reflects the active recording regardless of where it was started; it clears when the window closes.</t>
  </si>
  <si>
    <t xml:space="preserve">REC-03</t>
  </si>
  <si>
    <t xml:space="preserve">Desktop</t>
  </si>
  <si>
    <t xml:space="preserve">Record a desktop flow</t>
  </si>
  <si>
    <t xml:space="preserve">Windows desktop app.</t>
  </si>
  <si>
    <t xml:space="preserve">1) Start 'Record desktop'.
2) Perform actions in a native app (UIA events via PowerShell).
3) Stop.</t>
  </si>
  <si>
    <t xml:space="preserve">Open Notepad, type, save</t>
  </si>
  <si>
    <t xml:space="preserve">A desktop_* skill draft is produced from the captured UIA events.</t>
  </si>
  <si>
    <t xml:space="preserve">REC-04</t>
  </si>
  <si>
    <t xml:space="preserve">Approve</t>
  </si>
  <si>
    <t xml:space="preserve">Approve a recorded draft</t>
  </si>
  <si>
    <t xml:space="preserve">A draft exists.</t>
  </si>
  <si>
    <t xml:space="preserve">1) Playbook &gt; approve the draft.</t>
  </si>
  <si>
    <t xml:space="preserve">Draft becomes a runnable play in the Playbook.</t>
  </si>
  <si>
    <t xml:space="preserve">REC-05</t>
  </si>
  <si>
    <t xml:space="preserve">Global</t>
  </si>
  <si>
    <t xml:space="preserve">Start/stop from anywhere</t>
  </si>
  <si>
    <t xml:space="preserve">Anywhere in the app.</t>
  </si>
  <si>
    <t xml:space="preserve">1) Use the global Record control in the top bar.</t>
  </si>
  <si>
    <t xml:space="preserve">Recording can be started/stopped globally; status polls both recorders.</t>
  </si>
  <si>
    <t xml:space="preserve">REC-06</t>
  </si>
  <si>
    <t xml:space="preserve">Chrome</t>
  </si>
  <si>
    <t xml:space="preserve">Chrome-extension recorder</t>
  </si>
  <si>
    <t xml:space="preserve">Madav Chrome extension installed.</t>
  </si>
  <si>
    <t xml:space="preserve">1) Record via the extension (/hook/flow).</t>
  </si>
  <si>
    <t xml:space="preserve">Extension-captured flow becomes a draft over the local link; keys never enter Chrome.</t>
  </si>
  <si>
    <t xml:space="preserve">  Terminal</t>
  </si>
  <si>
    <t xml:space="preserve">  In-app Terminal panel.</t>
  </si>
  <si>
    <t xml:space="preserve">TRM-01</t>
  </si>
  <si>
    <t xml:space="preserve">Open the Terminal panel</t>
  </si>
  <si>
    <t xml:space="preserve">1) Sidebar &gt; Terminal.</t>
  </si>
  <si>
    <t xml:space="preserve">Terminal panel opens with a prompt.</t>
  </si>
  <si>
    <t xml:space="preserve">TRM-02</t>
  </si>
  <si>
    <t xml:space="preserve">Run a basic command</t>
  </si>
  <si>
    <t xml:space="preserve">Terminal open.</t>
  </si>
  <si>
    <t xml:space="preserve">1) Type a command; Enter.</t>
  </si>
  <si>
    <t xml:space="preserve">echo hello</t>
  </si>
  <si>
    <t xml:space="preserve">Command runs; 'hello' is printed.</t>
  </si>
  <si>
    <t xml:space="preserve">TRM-03</t>
  </si>
  <si>
    <t xml:space="preserve">Dir</t>
  </si>
  <si>
    <t xml:space="preserve">Change directory</t>
  </si>
  <si>
    <t xml:space="preserve">1) cd into a project; list files.</t>
  </si>
  <si>
    <t xml:space="preserve">cd into the loaded folder; dir/ls</t>
  </si>
  <si>
    <t xml:space="preserve">Working directory changes; listing is correct.</t>
  </si>
  <si>
    <t xml:space="preserve">TRM-04</t>
  </si>
  <si>
    <t xml:space="preserve">Output</t>
  </si>
  <si>
    <t xml:space="preserve">Output rendering</t>
  </si>
  <si>
    <t xml:space="preserve">A command with long output.</t>
  </si>
  <si>
    <t xml:space="preserve">1) Run something verbose.</t>
  </si>
  <si>
    <t xml:space="preserve">a build or a long listing</t>
  </si>
  <si>
    <t xml:space="preserve">Output renders fully and scrolls within the panel.</t>
  </si>
  <si>
    <t xml:space="preserve">TRM-05</t>
  </si>
  <si>
    <t xml:space="preserve">Long-run</t>
  </si>
  <si>
    <t xml:space="preserve">Long-running command + stop</t>
  </si>
  <si>
    <t xml:space="preserve">1) Start a long command.
2) Interrupt it.</t>
  </si>
  <si>
    <t xml:space="preserve">a watch/long task, then Ctrl+C</t>
  </si>
  <si>
    <t xml:space="preserve">Command can be interrupted; the panel stays responsive.</t>
  </si>
  <si>
    <t xml:space="preserve">  CLI (madav code)</t>
  </si>
  <si>
    <t xml:space="preserve">  The 'madav' command-line agent — enable terminal access and run it in any folder.</t>
  </si>
  <si>
    <t xml:space="preserve">CLI-01</t>
  </si>
  <si>
    <t xml:space="preserve">Enable</t>
  </si>
  <si>
    <t xml:space="preserve">Enable terminal access</t>
  </si>
  <si>
    <t xml:space="preserve">Desktop app (a browser can't write your shell).</t>
  </si>
  <si>
    <t xml:space="preserve">1) Settings &gt; Terminal access.
2) Click Enable.</t>
  </si>
  <si>
    <t xml:space="preserve">Provider settings are written to a local config and the 'madav' command is added to PATH; no API key re-entry.</t>
  </si>
  <si>
    <t xml:space="preserve">CLI-02</t>
  </si>
  <si>
    <t xml:space="preserve">Node</t>
  </si>
  <si>
    <t xml:space="preserve">Node.js detection</t>
  </si>
  <si>
    <t xml:space="preserve">Node may or may not be installed.</t>
  </si>
  <si>
    <t xml:space="preserve">1) Open the CLI/Terminal-access card.</t>
  </si>
  <si>
    <t xml:space="preserve">If Node is missing, the card warns and links nodejs.org; once installed, Enable succeeds; if present it shows active.</t>
  </si>
  <si>
    <t xml:space="preserve">CLI-03</t>
  </si>
  <si>
    <t xml:space="preserve">PATH</t>
  </si>
  <si>
    <t xml:space="preserve">'madav' is on PATH</t>
  </si>
  <si>
    <t xml:space="preserve">Terminal access enabled.</t>
  </si>
  <si>
    <t xml:space="preserve">1) Open ANY terminal.
2) Run: madav</t>
  </si>
  <si>
    <t xml:space="preserve">madav</t>
  </si>
  <si>
    <t xml:space="preserve">The command is found ('command installed'); the CLI starts.</t>
  </si>
  <si>
    <t xml:space="preserve">CLI-04</t>
  </si>
  <si>
    <t xml:space="preserve">Run madav in a project</t>
  </si>
  <si>
    <t xml:space="preserve">CLI installed.</t>
  </si>
  <si>
    <t xml:space="preserve">1) cd into a project folder.
2) Run madav.
3) Give a task.</t>
  </si>
  <si>
    <t xml:space="preserve">cd repo; madav; 'add a README badge'</t>
  </si>
  <si>
    <t xml:space="preserve">CLI operates on that folder using your subscription/provider; performs the task.</t>
  </si>
  <si>
    <t xml:space="preserve">CLI-05</t>
  </si>
  <si>
    <t xml:space="preserve">/help lists commands</t>
  </si>
  <si>
    <t xml:space="preserve">In the CLI.</t>
  </si>
  <si>
    <t xml:space="preserve">1) Type /help.</t>
  </si>
  <si>
    <t xml:space="preserve">/help</t>
  </si>
  <si>
    <t xml:space="preserve">Commands are listed.</t>
  </si>
  <si>
    <t xml:space="preserve">CLI-06</t>
  </si>
  <si>
    <t xml:space="preserve">/undo reverts last edit</t>
  </si>
  <si>
    <t xml:space="preserve">After a CLI edit.</t>
  </si>
  <si>
    <t xml:space="preserve">1) Type /undo.</t>
  </si>
  <si>
    <t xml:space="preserve">/undo</t>
  </si>
  <si>
    <t xml:space="preserve">The last edit is reverted.</t>
  </si>
  <si>
    <t xml:space="preserve">CLI-07</t>
  </si>
  <si>
    <t xml:space="preserve">Subscription</t>
  </si>
  <si>
    <t xml:space="preserve">Subscription checked at start</t>
  </si>
  <si>
    <t xml:space="preserve">1) Start the CLI.</t>
  </si>
  <si>
    <t xml:space="preserve">Subscription is verified on start; no API key is requested again (keys stay device-local).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</si>
</sst>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3341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B2733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9"/>
      <color rgb="FF1F3A5F"/>
      <name val="Arial"/>
      <family val="0"/>
      <charset val="1"/>
    </font>
    <font>
      <sz val="9"/>
      <color rgb="FFC62828"/>
      <name val="Arial"/>
      <family val="0"/>
      <charset val="1"/>
    </font>
    <font>
      <sz val="9"/>
      <color rgb="FFE0B341"/>
      <name val="Arial"/>
      <family val="0"/>
      <charset val="1"/>
    </font>
    <font>
      <sz val="9"/>
      <color rgb="FF6B7785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2"/>
      <color rgb="FF2F6FB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33414F"/>
      <name val="Arial"/>
      <family val="0"/>
      <charset val="1"/>
    </font>
    <font>
      <sz val="9"/>
      <color rgb="FF1B2733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9"/>
      <color rgb="FFE0B341"/>
      <name val="Arial"/>
      <family val="0"/>
      <charset val="1"/>
    </font>
    <font>
      <b val="true"/>
      <sz val="9"/>
      <color rgb="FF6B778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414F"/>
      </patternFill>
    </fill>
    <fill>
      <patternFill patternType="solid">
        <fgColor rgb="FFDCE7F2"/>
        <bgColor rgb="FFE8EBEF"/>
      </patternFill>
    </fill>
    <fill>
      <patternFill patternType="solid">
        <fgColor rgb="FF0F2747"/>
        <bgColor rgb="FF1B2733"/>
      </patternFill>
    </fill>
    <fill>
      <patternFill patternType="solid">
        <fgColor rgb="FF2F6FB0"/>
        <bgColor rgb="FF0066CC"/>
      </patternFill>
    </fill>
    <fill>
      <patternFill patternType="solid">
        <fgColor rgb="FFF2F4F7"/>
        <bgColor rgb="FFE8EB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CED6"/>
      </left>
      <right style="thin">
        <color rgb="FFC7CED6"/>
      </right>
      <top style="thin">
        <color rgb="FFC7CED6"/>
      </top>
      <bottom style="thin">
        <color rgb="FFC7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2E7D32"/>
      </font>
      <fill>
        <patternFill>
          <bgColor rgb="FFD7F0DA"/>
        </patternFill>
      </fill>
    </dxf>
    <dxf>
      <font>
        <name val="Arial"/>
        <charset val="1"/>
        <family val="0"/>
        <b val="1"/>
        <color rgb="FFC62828"/>
      </font>
      <fill>
        <patternFill>
          <bgColor rgb="FFF7D7D7"/>
        </patternFill>
      </fill>
    </dxf>
    <dxf>
      <font>
        <name val="Arial"/>
        <charset val="1"/>
        <family val="0"/>
        <b val="1"/>
        <color rgb="FF9A7B1F"/>
      </font>
      <fill>
        <patternFill>
          <bgColor rgb="FFFBF0D2"/>
        </patternFill>
      </fill>
    </dxf>
    <dxf>
      <font>
        <name val="Arial"/>
        <charset val="1"/>
        <family val="0"/>
        <color rgb="FF6B7785"/>
      </font>
      <fill>
        <patternFill>
          <bgColor rgb="FFE8EBEF"/>
        </patternFill>
      </fill>
    </dxf>
    <dxf>
      <font>
        <name val="Arial"/>
        <charset val="1"/>
        <family val="0"/>
        <b val="1"/>
        <color rgb="FF5B3FA0"/>
      </font>
      <fill>
        <patternFill>
          <bgColor rgb="FFE4DC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B1F"/>
      <rgbColor rgb="FF800080"/>
      <rgbColor rgb="FF008080"/>
      <rgbColor rgb="FFC7CED6"/>
      <rgbColor rgb="FF6B7785"/>
      <rgbColor rgb="FF9999FF"/>
      <rgbColor rgb="FF993366"/>
      <rgbColor rgb="FFFBF0D2"/>
      <rgbColor rgb="FFDCE7F2"/>
      <rgbColor rgb="FF660066"/>
      <rgbColor rgb="FFFF8080"/>
      <rgbColor rgb="FF0066CC"/>
      <rgbColor rgb="FFE4DC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BEF"/>
      <rgbColor rgb="FFD7F0DA"/>
      <rgbColor rgb="FFF2F4F7"/>
      <rgbColor rgb="FF99CCFF"/>
      <rgbColor rgb="FFFF99CC"/>
      <rgbColor rgb="FFCC99FF"/>
      <rgbColor rgb="FFF7D7D7"/>
      <rgbColor rgb="FF2F6FB0"/>
      <rgbColor rgb="FF33CCCC"/>
      <rgbColor rgb="FF99CC00"/>
      <rgbColor rgb="FFE0B341"/>
      <rgbColor rgb="FFFF9900"/>
      <rgbColor rgb="FFFF6600"/>
      <rgbColor rgb="FF5B3FA0"/>
      <rgbColor rgb="FF969696"/>
      <rgbColor rgb="FF0F2747"/>
      <rgbColor rgb="FF2E7D32"/>
      <rgbColor rgb="FF003300"/>
      <rgbColor rgb="FF1B2733"/>
      <rgbColor rgb="FFC62828"/>
      <rgbColor rgb="FF993366"/>
      <rgbColor rgb="FF1F3A5F"/>
      <rgbColor rgb="FF3341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9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v>11</v>
      </c>
      <c r="C5" s="6" t="n">
        <f aca="false">COUNTIF('01 Projects'!$I$4:$I$14,"Pass")</f>
        <v>0</v>
      </c>
      <c r="D5" s="7" t="n">
        <f aca="false">COUNTIF('01 Projects'!$I$4:$I$14,"Fail")</f>
        <v>0</v>
      </c>
      <c r="E5" s="5" t="n">
        <f aca="false">COUNTIF('01 Projects'!$I$4:$I$14,"Blocked")</f>
        <v>0</v>
      </c>
      <c r="F5" s="5" t="n">
        <f aca="false">COUNTIF('01 Projects'!$I$4:$I$14,"Skipped")+COUNTIF('01 Projects'!$I$4:$I$14,"Retest")</f>
        <v>0</v>
      </c>
      <c r="G5" s="5" t="n">
        <f aca="false">B5-C5-D5-E5-F5</f>
        <v>11</v>
      </c>
      <c r="H5" s="8" t="n">
        <f aca="false">IF(B5=0,0,(B5-G5)/B5)</f>
        <v>0</v>
      </c>
    </row>
    <row r="6" customFormat="false" ht="15" hidden="false" customHeight="false" outlineLevel="0" collapsed="false">
      <c r="A6" s="4" t="s">
        <v>11</v>
      </c>
      <c r="B6" s="5" t="n">
        <v>27</v>
      </c>
      <c r="C6" s="6" t="n">
        <f aca="false">COUNTIF('02 Agents'!$I$4:$I$30,"Pass")</f>
        <v>0</v>
      </c>
      <c r="D6" s="7" t="n">
        <f aca="false">COUNTIF('02 Agents'!$I$4:$I$30,"Fail")</f>
        <v>0</v>
      </c>
      <c r="E6" s="5" t="n">
        <f aca="false">COUNTIF('02 Agents'!$I$4:$I$30,"Blocked")</f>
        <v>0</v>
      </c>
      <c r="F6" s="5" t="n">
        <f aca="false">COUNTIF('02 Agents'!$I$4:$I$30,"Skipped")+COUNTIF('02 Agents'!$I$4:$I$30,"Retest")</f>
        <v>0</v>
      </c>
      <c r="G6" s="5" t="n">
        <f aca="false">B6-C6-D6-E6-F6</f>
        <v>27</v>
      </c>
      <c r="H6" s="8" t="n">
        <f aca="false">IF(B6=0,0,(B6-G6)/B6)</f>
        <v>0</v>
      </c>
    </row>
    <row r="7" customFormat="false" ht="15" hidden="false" customHeight="false" outlineLevel="0" collapsed="false">
      <c r="A7" s="4" t="s">
        <v>12</v>
      </c>
      <c r="B7" s="5" t="n">
        <v>20</v>
      </c>
      <c r="C7" s="6" t="n">
        <f aca="false">COUNTIF('03 Studio'!$I$4:$I$23,"Pass")</f>
        <v>0</v>
      </c>
      <c r="D7" s="7" t="n">
        <f aca="false">COUNTIF('03 Studio'!$I$4:$I$23,"Fail")</f>
        <v>0</v>
      </c>
      <c r="E7" s="5" t="n">
        <f aca="false">COUNTIF('03 Studio'!$I$4:$I$23,"Blocked")</f>
        <v>0</v>
      </c>
      <c r="F7" s="5" t="n">
        <f aca="false">COUNTIF('03 Studio'!$I$4:$I$23,"Skipped")+COUNTIF('03 Studio'!$I$4:$I$23,"Retest")</f>
        <v>0</v>
      </c>
      <c r="G7" s="5" t="n">
        <f aca="false">B7-C7-D7-E7-F7</f>
        <v>20</v>
      </c>
      <c r="H7" s="8" t="n">
        <f aca="false">IF(B7=0,0,(B7-G7)/B7)</f>
        <v>0</v>
      </c>
    </row>
    <row r="8" customFormat="false" ht="15" hidden="false" customHeight="false" outlineLevel="0" collapsed="false">
      <c r="A8" s="4" t="s">
        <v>13</v>
      </c>
      <c r="B8" s="5" t="n">
        <v>9</v>
      </c>
      <c r="C8" s="6" t="n">
        <f aca="false">COUNTIF('04 Scheduler'!$I$4:$I$12,"Pass")</f>
        <v>0</v>
      </c>
      <c r="D8" s="7" t="n">
        <f aca="false">COUNTIF('04 Scheduler'!$I$4:$I$12,"Fail")</f>
        <v>0</v>
      </c>
      <c r="E8" s="5" t="n">
        <f aca="false">COUNTIF('04 Scheduler'!$I$4:$I$12,"Blocked")</f>
        <v>0</v>
      </c>
      <c r="F8" s="5" t="n">
        <f aca="false">COUNTIF('04 Scheduler'!$I$4:$I$12,"Skipped")+COUNTIF('04 Scheduler'!$I$4:$I$12,"Retest")</f>
        <v>0</v>
      </c>
      <c r="G8" s="5" t="n">
        <f aca="false">B8-C8-D8-E8-F8</f>
        <v>9</v>
      </c>
      <c r="H8" s="8" t="n">
        <f aca="false">IF(B8=0,0,(B8-G8)/B8)</f>
        <v>0</v>
      </c>
    </row>
    <row r="9" customFormat="false" ht="15" hidden="false" customHeight="false" outlineLevel="0" collapsed="false">
      <c r="A9" s="4" t="s">
        <v>14</v>
      </c>
      <c r="B9" s="5" t="n">
        <v>12</v>
      </c>
      <c r="C9" s="6" t="n">
        <f aca="false">COUNTIF('05 Playbook'!$I$4:$I$15,"Pass")</f>
        <v>0</v>
      </c>
      <c r="D9" s="7" t="n">
        <f aca="false">COUNTIF('05 Playbook'!$I$4:$I$15,"Fail")</f>
        <v>0</v>
      </c>
      <c r="E9" s="5" t="n">
        <f aca="false">COUNTIF('05 Playbook'!$I$4:$I$15,"Blocked")</f>
        <v>0</v>
      </c>
      <c r="F9" s="5" t="n">
        <f aca="false">COUNTIF('05 Playbook'!$I$4:$I$15,"Skipped")+COUNTIF('05 Playbook'!$I$4:$I$15,"Retest")</f>
        <v>0</v>
      </c>
      <c r="G9" s="5" t="n">
        <f aca="false">B9-C9-D9-E9-F9</f>
        <v>12</v>
      </c>
      <c r="H9" s="8" t="n">
        <f aca="false">IF(B9=0,0,(B9-G9)/B9)</f>
        <v>0</v>
      </c>
    </row>
    <row r="10" customFormat="false" ht="15" hidden="false" customHeight="false" outlineLevel="0" collapsed="false">
      <c r="A10" s="4" t="s">
        <v>15</v>
      </c>
      <c r="B10" s="5" t="n">
        <v>8</v>
      </c>
      <c r="C10" s="6" t="n">
        <f aca="false">COUNTIF('06 Connectors'!$I$4:$I$11,"Pass")</f>
        <v>0</v>
      </c>
      <c r="D10" s="7" t="n">
        <f aca="false">COUNTIF('06 Connectors'!$I$4:$I$11,"Fail")</f>
        <v>0</v>
      </c>
      <c r="E10" s="5" t="n">
        <f aca="false">COUNTIF('06 Connectors'!$I$4:$I$11,"Blocked")</f>
        <v>0</v>
      </c>
      <c r="F10" s="5" t="n">
        <f aca="false">COUNTIF('06 Connectors'!$I$4:$I$11,"Skipped")+COUNTIF('06 Connectors'!$I$4:$I$11,"Retest")</f>
        <v>0</v>
      </c>
      <c r="G10" s="5" t="n">
        <f aca="false">B10-C10-D10-E10-F10</f>
        <v>8</v>
      </c>
      <c r="H10" s="8" t="n">
        <f aca="false">IF(B10=0,0,(B10-G10)/B10)</f>
        <v>0</v>
      </c>
    </row>
    <row r="11" customFormat="false" ht="15" hidden="false" customHeight="false" outlineLevel="0" collapsed="false">
      <c r="A11" s="4" t="s">
        <v>16</v>
      </c>
      <c r="B11" s="5" t="n">
        <v>14</v>
      </c>
      <c r="C11" s="6" t="n">
        <f aca="false">COUNTIF('07 Lets Chat'!$I$4:$I$17,"Pass")</f>
        <v>0</v>
      </c>
      <c r="D11" s="7" t="n">
        <f aca="false">COUNTIF('07 Lets Chat'!$I$4:$I$17,"Fail")</f>
        <v>0</v>
      </c>
      <c r="E11" s="5" t="n">
        <f aca="false">COUNTIF('07 Lets Chat'!$I$4:$I$17,"Blocked")</f>
        <v>0</v>
      </c>
      <c r="F11" s="5" t="n">
        <f aca="false">COUNTIF('07 Lets Chat'!$I$4:$I$17,"Skipped")+COUNTIF('07 Lets Chat'!$I$4:$I$17,"Retest")</f>
        <v>0</v>
      </c>
      <c r="G11" s="5" t="n">
        <f aca="false">B11-C11-D11-E11-F11</f>
        <v>14</v>
      </c>
      <c r="H11" s="8" t="n">
        <f aca="false">IF(B11=0,0,(B11-G11)/B11)</f>
        <v>0</v>
      </c>
    </row>
    <row r="12" customFormat="false" ht="15" hidden="false" customHeight="false" outlineLevel="0" collapsed="false">
      <c r="A12" s="4" t="s">
        <v>17</v>
      </c>
      <c r="B12" s="5" t="n">
        <v>10</v>
      </c>
      <c r="C12" s="6" t="n">
        <f aca="false">COUNTIF('08 Lets Build'!$I$4:$I$13,"Pass")</f>
        <v>0</v>
      </c>
      <c r="D12" s="7" t="n">
        <f aca="false">COUNTIF('08 Lets Build'!$I$4:$I$13,"Fail")</f>
        <v>0</v>
      </c>
      <c r="E12" s="5" t="n">
        <f aca="false">COUNTIF('08 Lets Build'!$I$4:$I$13,"Blocked")</f>
        <v>0</v>
      </c>
      <c r="F12" s="5" t="n">
        <f aca="false">COUNTIF('08 Lets Build'!$I$4:$I$13,"Skipped")+COUNTIF('08 Lets Build'!$I$4:$I$13,"Retest")</f>
        <v>0</v>
      </c>
      <c r="G12" s="5" t="n">
        <f aca="false">B12-C12-D12-E12-F12</f>
        <v>10</v>
      </c>
      <c r="H12" s="8" t="n">
        <f aca="false">IF(B12=0,0,(B12-G12)/B12)</f>
        <v>0</v>
      </c>
    </row>
    <row r="13" customFormat="false" ht="15" hidden="false" customHeight="false" outlineLevel="0" collapsed="false">
      <c r="A13" s="4" t="s">
        <v>18</v>
      </c>
      <c r="B13" s="5" t="n">
        <v>6</v>
      </c>
      <c r="C13" s="6" t="n">
        <f aca="false">COUNTIF('09 Recorders'!$I$4:$I$9,"Pass")</f>
        <v>0</v>
      </c>
      <c r="D13" s="7" t="n">
        <f aca="false">COUNTIF('09 Recorders'!$I$4:$I$9,"Fail")</f>
        <v>0</v>
      </c>
      <c r="E13" s="5" t="n">
        <f aca="false">COUNTIF('09 Recorders'!$I$4:$I$9,"Blocked")</f>
        <v>0</v>
      </c>
      <c r="F13" s="5" t="n">
        <f aca="false">COUNTIF('09 Recorders'!$I$4:$I$9,"Skipped")+COUNTIF('09 Recorders'!$I$4:$I$9,"Retest")</f>
        <v>0</v>
      </c>
      <c r="G13" s="5" t="n">
        <f aca="false">B13-C13-D13-E13-F13</f>
        <v>6</v>
      </c>
      <c r="H13" s="8" t="n">
        <f aca="false">IF(B13=0,0,(B13-G13)/B13)</f>
        <v>0</v>
      </c>
    </row>
    <row r="14" customFormat="false" ht="15" hidden="false" customHeight="false" outlineLevel="0" collapsed="false">
      <c r="A14" s="4" t="s">
        <v>19</v>
      </c>
      <c r="B14" s="5" t="n">
        <v>5</v>
      </c>
      <c r="C14" s="6" t="n">
        <f aca="false">COUNTIF('10 Terminal'!$I$4:$I$8,"Pass")</f>
        <v>0</v>
      </c>
      <c r="D14" s="7" t="n">
        <f aca="false">COUNTIF('10 Terminal'!$I$4:$I$8,"Fail")</f>
        <v>0</v>
      </c>
      <c r="E14" s="5" t="n">
        <f aca="false">COUNTIF('10 Terminal'!$I$4:$I$8,"Blocked")</f>
        <v>0</v>
      </c>
      <c r="F14" s="5" t="n">
        <f aca="false">COUNTIF('10 Terminal'!$I$4:$I$8,"Skipped")+COUNTIF('10 Terminal'!$I$4:$I$8,"Retest")</f>
        <v>0</v>
      </c>
      <c r="G14" s="5" t="n">
        <f aca="false">B14-C14-D14-E14-F14</f>
        <v>5</v>
      </c>
      <c r="H14" s="8" t="n">
        <f aca="false">IF(B14=0,0,(B14-G14)/B14)</f>
        <v>0</v>
      </c>
    </row>
    <row r="15" customFormat="false" ht="15" hidden="false" customHeight="false" outlineLevel="0" collapsed="false">
      <c r="A15" s="4" t="s">
        <v>20</v>
      </c>
      <c r="B15" s="5" t="n">
        <v>7</v>
      </c>
      <c r="C15" s="6" t="n">
        <f aca="false">COUNTIF('11 CLI (madav code)'!$I$4:$I$10,"Pass")</f>
        <v>0</v>
      </c>
      <c r="D15" s="7" t="n">
        <f aca="false">COUNTIF('11 CLI (madav code)'!$I$4:$I$10,"Fail")</f>
        <v>0</v>
      </c>
      <c r="E15" s="5" t="n">
        <f aca="false">COUNTIF('11 CLI (madav code)'!$I$4:$I$10,"Blocked")</f>
        <v>0</v>
      </c>
      <c r="F15" s="5" t="n">
        <f aca="false">COUNTIF('11 CLI (madav code)'!$I$4:$I$10,"Skipped")+COUNTIF('11 CLI (madav code)'!$I$4:$I$10,"Retest")</f>
        <v>0</v>
      </c>
      <c r="G15" s="5" t="n">
        <f aca="false">B15-C15-D15-E15-F15</f>
        <v>7</v>
      </c>
      <c r="H15" s="8" t="n">
        <f aca="false">IF(B15=0,0,(B15-G15)/B15)</f>
        <v>0</v>
      </c>
    </row>
    <row r="16" customFormat="false" ht="15" hidden="false" customHeight="false" outlineLevel="0" collapsed="false">
      <c r="A16" s="9" t="s">
        <v>21</v>
      </c>
      <c r="B16" s="10" t="n">
        <f aca="false">SUM(B5:B15)</f>
        <v>129</v>
      </c>
      <c r="C16" s="10" t="n">
        <f aca="false">SUM(C5:C15)</f>
        <v>0</v>
      </c>
      <c r="D16" s="10" t="n">
        <f aca="false">SUM(D5:D15)</f>
        <v>0</v>
      </c>
      <c r="E16" s="10" t="n">
        <f aca="false">SUM(E5:E15)</f>
        <v>0</v>
      </c>
      <c r="F16" s="10" t="n">
        <f aca="false">SUM(F5:F15)</f>
        <v>0</v>
      </c>
      <c r="G16" s="10" t="n">
        <f aca="false">SUM(G5:G15)</f>
        <v>129</v>
      </c>
      <c r="H16" s="11" t="n">
        <f aca="false">IF(B16=0,0,(B16-G16)/B16)</f>
        <v>0</v>
      </c>
    </row>
    <row r="18" customFormat="false" ht="15" hidden="false" customHeight="false" outlineLevel="0" collapsed="false">
      <c r="A18" s="12" t="s">
        <v>22</v>
      </c>
      <c r="B18" s="13" t="s">
        <v>23</v>
      </c>
    </row>
    <row r="19" customFormat="false" ht="15" hidden="false" customHeight="false" outlineLevel="0" collapsed="false">
      <c r="B19" s="14" t="s">
        <v>24</v>
      </c>
    </row>
    <row r="20" customFormat="false" ht="15" hidden="false" customHeight="false" outlineLevel="0" collapsed="false">
      <c r="B20" s="15" t="s">
        <v>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16" t="s">
        <v>26</v>
      </c>
    </row>
    <row r="3" customFormat="false" ht="15" hidden="false" customHeight="false" outlineLevel="0" collapsed="false">
      <c r="B3" s="17" t="s">
        <v>27</v>
      </c>
    </row>
    <row r="4" customFormat="false" ht="23.85" hidden="false" customHeight="false" outlineLevel="0" collapsed="false">
      <c r="B4" s="18" t="s">
        <v>28</v>
      </c>
    </row>
    <row r="6" customFormat="false" ht="15" hidden="false" customHeight="false" outlineLevel="0" collapsed="false">
      <c r="B6" s="17" t="s">
        <v>29</v>
      </c>
    </row>
    <row r="7" customFormat="false" ht="15" hidden="false" customHeight="false" outlineLevel="0" collapsed="false">
      <c r="B7" s="18" t="s">
        <v>30</v>
      </c>
    </row>
    <row r="8" customFormat="false" ht="15" hidden="false" customHeight="false" outlineLevel="0" collapsed="false">
      <c r="B8" s="18" t="s">
        <v>31</v>
      </c>
    </row>
    <row r="9" customFormat="false" ht="15" hidden="false" customHeight="false" outlineLevel="0" collapsed="false">
      <c r="B9" s="18" t="s">
        <v>32</v>
      </c>
    </row>
    <row r="10" customFormat="false" ht="15" hidden="false" customHeight="false" outlineLevel="0" collapsed="false">
      <c r="B10" s="18" t="s">
        <v>33</v>
      </c>
    </row>
    <row r="12" customFormat="false" ht="15" hidden="false" customHeight="false" outlineLevel="0" collapsed="false">
      <c r="B12" s="17" t="s">
        <v>34</v>
      </c>
    </row>
    <row r="13" customFormat="false" ht="23.85" hidden="false" customHeight="false" outlineLevel="0" collapsed="false">
      <c r="B13" s="18" t="s">
        <v>35</v>
      </c>
    </row>
    <row r="15" customFormat="false" ht="15" hidden="false" customHeight="false" outlineLevel="0" collapsed="false">
      <c r="B15" s="17" t="s">
        <v>36</v>
      </c>
    </row>
    <row r="16" customFormat="false" ht="15" hidden="false" customHeight="false" outlineLevel="0" collapsed="false">
      <c r="B16" s="18" t="s">
        <v>37</v>
      </c>
    </row>
    <row r="17" customFormat="false" ht="15" hidden="false" customHeight="false" outlineLevel="0" collapsed="false">
      <c r="B17" s="18" t="s">
        <v>38</v>
      </c>
    </row>
    <row r="19" customFormat="false" ht="15" hidden="false" customHeight="false" outlineLevel="0" collapsed="false">
      <c r="B19" s="17" t="s">
        <v>39</v>
      </c>
    </row>
    <row r="20" customFormat="false" ht="15" hidden="false" customHeight="false" outlineLevel="0" collapsed="false">
      <c r="B20" s="18" t="s">
        <v>40</v>
      </c>
    </row>
    <row r="21" customFormat="false" ht="15" hidden="false" customHeight="false" outlineLevel="0" collapsed="false">
      <c r="B21" s="18" t="s">
        <v>41</v>
      </c>
    </row>
    <row r="22" customFormat="false" ht="15" hidden="false" customHeight="false" outlineLevel="0" collapsed="false">
      <c r="B22" s="18" t="s">
        <v>42</v>
      </c>
    </row>
    <row r="23" customFormat="false" ht="15" hidden="false" customHeight="false" outlineLevel="0" collapsed="false">
      <c r="B23" s="18" t="s">
        <v>43</v>
      </c>
    </row>
    <row r="24" customFormat="false" ht="15" hidden="false" customHeight="false" outlineLevel="0" collapsed="false">
      <c r="B24" s="18" t="s">
        <v>44</v>
      </c>
    </row>
    <row r="26" customFormat="false" ht="15" hidden="false" customHeight="false" outlineLevel="0" collapsed="false">
      <c r="B26" s="17" t="s">
        <v>45</v>
      </c>
    </row>
    <row r="27" customFormat="false" ht="23.85" hidden="false" customHeight="false" outlineLevel="0" collapsed="false">
      <c r="B27" s="18" t="s">
        <v>46</v>
      </c>
    </row>
    <row r="28" customFormat="false" ht="15" hidden="false" customHeight="false" outlineLevel="0" collapsed="false">
      <c r="B28" s="18" t="s">
        <v>47</v>
      </c>
    </row>
    <row r="29" customFormat="false" ht="15" hidden="false" customHeight="false" outlineLevel="0" collapsed="false">
      <c r="B29" s="18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54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1" min="11" style="0" width="34"/>
  </cols>
  <sheetData>
    <row r="1" customFormat="false" ht="25.5" hidden="false" customHeight="true" outlineLevel="0" collapsed="false">
      <c r="A1" s="19" t="s">
        <v>49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7.75" hidden="false" customHeight="true" outlineLevel="0" collapsed="false">
      <c r="A2" s="20" t="s">
        <v>50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</row>
    <row r="4" customFormat="false" ht="43.25" hidden="false" customHeight="false" outlineLevel="0" collapsed="false">
      <c r="A4" s="21" t="s">
        <v>62</v>
      </c>
      <c r="B4" s="22" t="s">
        <v>63</v>
      </c>
      <c r="C4" s="22" t="s">
        <v>64</v>
      </c>
      <c r="D4" s="22" t="s">
        <v>65</v>
      </c>
      <c r="E4" s="22" t="s">
        <v>66</v>
      </c>
      <c r="F4" s="22" t="s">
        <v>67</v>
      </c>
      <c r="G4" s="22" t="s">
        <v>68</v>
      </c>
      <c r="H4" s="23" t="s">
        <v>69</v>
      </c>
    </row>
    <row r="5" customFormat="false" ht="43.25" hidden="false" customHeight="false" outlineLevel="0" collapsed="false">
      <c r="A5" s="24" t="s">
        <v>70</v>
      </c>
      <c r="B5" s="25" t="s">
        <v>71</v>
      </c>
      <c r="C5" s="25" t="s">
        <v>72</v>
      </c>
      <c r="D5" s="25" t="s">
        <v>73</v>
      </c>
      <c r="E5" s="25" t="s">
        <v>74</v>
      </c>
      <c r="F5" s="25" t="s">
        <v>75</v>
      </c>
      <c r="G5" s="25" t="s">
        <v>76</v>
      </c>
      <c r="H5" s="26" t="s">
        <v>69</v>
      </c>
      <c r="I5" s="27"/>
      <c r="J5" s="27"/>
      <c r="K5" s="27"/>
    </row>
    <row r="6" customFormat="false" ht="32.8" hidden="false" customHeight="false" outlineLevel="0" collapsed="false">
      <c r="A6" s="21" t="s">
        <v>77</v>
      </c>
      <c r="B6" s="22" t="s">
        <v>78</v>
      </c>
      <c r="C6" s="22" t="s">
        <v>79</v>
      </c>
      <c r="D6" s="22" t="s">
        <v>80</v>
      </c>
      <c r="E6" s="22" t="s">
        <v>81</v>
      </c>
      <c r="F6" s="22" t="s">
        <v>82</v>
      </c>
      <c r="G6" s="22" t="s">
        <v>83</v>
      </c>
      <c r="H6" s="23" t="s">
        <v>69</v>
      </c>
    </row>
    <row r="7" customFormat="false" ht="32.8" hidden="false" customHeight="false" outlineLevel="0" collapsed="false">
      <c r="A7" s="24" t="s">
        <v>84</v>
      </c>
      <c r="B7" s="25" t="s">
        <v>85</v>
      </c>
      <c r="C7" s="25" t="s">
        <v>86</v>
      </c>
      <c r="D7" s="25" t="s">
        <v>87</v>
      </c>
      <c r="E7" s="25" t="s">
        <v>88</v>
      </c>
      <c r="F7" s="25" t="s">
        <v>89</v>
      </c>
      <c r="G7" s="25" t="s">
        <v>90</v>
      </c>
      <c r="H7" s="26" t="s">
        <v>69</v>
      </c>
      <c r="I7" s="27"/>
      <c r="J7" s="27"/>
      <c r="K7" s="27"/>
    </row>
    <row r="8" customFormat="false" ht="53.7" hidden="false" customHeight="false" outlineLevel="0" collapsed="false">
      <c r="A8" s="21" t="s">
        <v>91</v>
      </c>
      <c r="B8" s="22" t="s">
        <v>92</v>
      </c>
      <c r="C8" s="22" t="s">
        <v>93</v>
      </c>
      <c r="D8" s="22" t="s">
        <v>94</v>
      </c>
      <c r="E8" s="22" t="s">
        <v>95</v>
      </c>
      <c r="F8" s="22" t="s">
        <v>96</v>
      </c>
      <c r="G8" s="22" t="s">
        <v>97</v>
      </c>
      <c r="H8" s="23" t="s">
        <v>69</v>
      </c>
    </row>
    <row r="9" customFormat="false" ht="32.8" hidden="false" customHeight="false" outlineLevel="0" collapsed="false">
      <c r="A9" s="24" t="s">
        <v>98</v>
      </c>
      <c r="B9" s="25" t="s">
        <v>99</v>
      </c>
      <c r="C9" s="25" t="s">
        <v>100</v>
      </c>
      <c r="D9" s="25" t="s">
        <v>101</v>
      </c>
      <c r="E9" s="25" t="s">
        <v>102</v>
      </c>
      <c r="F9" s="25" t="s">
        <v>103</v>
      </c>
      <c r="G9" s="25" t="s">
        <v>104</v>
      </c>
      <c r="H9" s="28" t="s">
        <v>105</v>
      </c>
      <c r="I9" s="27"/>
      <c r="J9" s="27"/>
      <c r="K9" s="27"/>
    </row>
    <row r="10" customFormat="false" ht="32.8" hidden="false" customHeight="false" outlineLevel="0" collapsed="false">
      <c r="A10" s="21" t="s">
        <v>106</v>
      </c>
      <c r="B10" s="22" t="s">
        <v>107</v>
      </c>
      <c r="C10" s="22" t="s">
        <v>108</v>
      </c>
      <c r="D10" s="22" t="s">
        <v>109</v>
      </c>
      <c r="E10" s="22" t="s">
        <v>110</v>
      </c>
      <c r="F10" s="22" t="s">
        <v>111</v>
      </c>
      <c r="G10" s="22" t="s">
        <v>112</v>
      </c>
      <c r="H10" s="29" t="s">
        <v>105</v>
      </c>
    </row>
    <row r="11" customFormat="false" ht="32.8" hidden="false" customHeight="false" outlineLevel="0" collapsed="false">
      <c r="A11" s="24" t="s">
        <v>113</v>
      </c>
      <c r="B11" s="25" t="s">
        <v>114</v>
      </c>
      <c r="C11" s="25" t="s">
        <v>115</v>
      </c>
      <c r="D11" s="25" t="s">
        <v>116</v>
      </c>
      <c r="E11" s="25" t="s">
        <v>117</v>
      </c>
      <c r="F11" s="25" t="s">
        <v>118</v>
      </c>
      <c r="G11" s="25" t="s">
        <v>119</v>
      </c>
      <c r="H11" s="28" t="s">
        <v>105</v>
      </c>
      <c r="I11" s="27"/>
      <c r="J11" s="27"/>
      <c r="K11" s="27"/>
    </row>
    <row r="12" customFormat="false" ht="22.35" hidden="false" customHeight="false" outlineLevel="0" collapsed="false">
      <c r="A12" s="21" t="s">
        <v>120</v>
      </c>
      <c r="B12" s="22" t="s">
        <v>121</v>
      </c>
      <c r="C12" s="22" t="s">
        <v>122</v>
      </c>
      <c r="D12" s="22" t="s">
        <v>123</v>
      </c>
      <c r="E12" s="22" t="s">
        <v>124</v>
      </c>
      <c r="F12" s="22" t="s">
        <v>118</v>
      </c>
      <c r="G12" s="22" t="s">
        <v>125</v>
      </c>
      <c r="H12" s="29" t="s">
        <v>105</v>
      </c>
    </row>
    <row r="13" customFormat="false" ht="22.35" hidden="false" customHeight="false" outlineLevel="0" collapsed="false">
      <c r="A13" s="24" t="s">
        <v>126</v>
      </c>
      <c r="B13" s="25" t="s">
        <v>127</v>
      </c>
      <c r="C13" s="25" t="s">
        <v>128</v>
      </c>
      <c r="D13" s="25" t="s">
        <v>129</v>
      </c>
      <c r="E13" s="25" t="s">
        <v>130</v>
      </c>
      <c r="F13" s="25" t="s">
        <v>118</v>
      </c>
      <c r="G13" s="25" t="s">
        <v>131</v>
      </c>
      <c r="H13" s="28" t="s">
        <v>105</v>
      </c>
      <c r="I13" s="27"/>
      <c r="J13" s="27"/>
      <c r="K13" s="27"/>
    </row>
    <row r="14" customFormat="false" ht="22.35" hidden="false" customHeight="false" outlineLevel="0" collapsed="false">
      <c r="A14" s="21" t="s">
        <v>132</v>
      </c>
      <c r="B14" s="22" t="s">
        <v>133</v>
      </c>
      <c r="C14" s="22" t="s">
        <v>134</v>
      </c>
      <c r="D14" s="22" t="s">
        <v>135</v>
      </c>
      <c r="E14" s="22" t="s">
        <v>136</v>
      </c>
      <c r="F14" s="22" t="s">
        <v>118</v>
      </c>
      <c r="G14" s="22" t="s">
        <v>137</v>
      </c>
      <c r="H14" s="30" t="s">
        <v>138</v>
      </c>
    </row>
  </sheetData>
  <mergeCells count="2">
    <mergeCell ref="A1:K1"/>
    <mergeCell ref="A2:K2"/>
  </mergeCells>
  <conditionalFormatting sqref="I4:I14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"Skipped"</formula>
    </cfRule>
    <cfRule type="cellIs" priority="6" operator="equal" aboveAverage="0" equalAverage="0" bottom="0" percent="0" rank="0" text="" dxfId="4">
      <formula>"Retest"</formula>
    </cfRule>
  </conditionalFormatting>
  <dataValidations count="2">
    <dataValidation allowBlank="true" error="Pick from the list" errorStyle="stop" operator="between" showDropDown="false" showErrorMessage="false" showInputMessage="false" sqref="I4:I14" type="list">
      <formula1>"Pass,Fail,Blocked,Skipped,Retest"</formula1>
      <formula2>0</formula2>
    </dataValidation>
    <dataValidation allowBlank="true" errorStyle="stop" operator="between" showDropDown="false" showErrorMessage="false" showInputMessage="false" sqref="J4:J14" type="list">
      <formula1>"S1-Critical,S2-Major,S3-Minor,S4-Cosmetic"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54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1" min="11" style="0" width="34"/>
  </cols>
  <sheetData>
    <row r="1" customFormat="false" ht="25.5" hidden="false" customHeight="true" outlineLevel="0" collapsed="false">
      <c r="A1" s="19" t="s">
        <v>139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7.75" hidden="false" customHeight="true" outlineLevel="0" collapsed="false">
      <c r="A2" s="20" t="s">
        <v>140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</row>
    <row r="4" customFormat="false" ht="43.25" hidden="false" customHeight="false" outlineLevel="0" collapsed="false">
      <c r="A4" s="21" t="s">
        <v>141</v>
      </c>
      <c r="B4" s="22" t="s">
        <v>142</v>
      </c>
      <c r="C4" s="22" t="s">
        <v>143</v>
      </c>
      <c r="D4" s="22" t="s">
        <v>144</v>
      </c>
      <c r="E4" s="22" t="s">
        <v>145</v>
      </c>
      <c r="F4" s="22" t="s">
        <v>146</v>
      </c>
      <c r="G4" s="22" t="s">
        <v>147</v>
      </c>
      <c r="H4" s="23" t="s">
        <v>69</v>
      </c>
    </row>
    <row r="5" customFormat="false" ht="22.35" hidden="false" customHeight="false" outlineLevel="0" collapsed="false">
      <c r="A5" s="24" t="s">
        <v>148</v>
      </c>
      <c r="B5" s="25" t="s">
        <v>142</v>
      </c>
      <c r="C5" s="25" t="s">
        <v>149</v>
      </c>
      <c r="D5" s="25" t="s">
        <v>150</v>
      </c>
      <c r="E5" s="25" t="s">
        <v>151</v>
      </c>
      <c r="F5" s="25" t="s">
        <v>152</v>
      </c>
      <c r="G5" s="25" t="s">
        <v>153</v>
      </c>
      <c r="H5" s="28" t="s">
        <v>105</v>
      </c>
      <c r="I5" s="27"/>
      <c r="J5" s="27"/>
      <c r="K5" s="27"/>
    </row>
    <row r="6" customFormat="false" ht="22.35" hidden="false" customHeight="false" outlineLevel="0" collapsed="false">
      <c r="A6" s="21" t="s">
        <v>154</v>
      </c>
      <c r="B6" s="22" t="s">
        <v>142</v>
      </c>
      <c r="C6" s="22" t="s">
        <v>155</v>
      </c>
      <c r="D6" s="22" t="s">
        <v>156</v>
      </c>
      <c r="E6" s="22" t="s">
        <v>157</v>
      </c>
      <c r="F6" s="22" t="s">
        <v>158</v>
      </c>
      <c r="G6" s="22" t="s">
        <v>159</v>
      </c>
      <c r="H6" s="23" t="s">
        <v>69</v>
      </c>
    </row>
    <row r="7" customFormat="false" ht="32.8" hidden="false" customHeight="false" outlineLevel="0" collapsed="false">
      <c r="A7" s="24" t="s">
        <v>160</v>
      </c>
      <c r="B7" s="25" t="s">
        <v>161</v>
      </c>
      <c r="C7" s="25" t="s">
        <v>162</v>
      </c>
      <c r="D7" s="25" t="s">
        <v>163</v>
      </c>
      <c r="E7" s="25" t="s">
        <v>164</v>
      </c>
      <c r="F7" s="25" t="s">
        <v>165</v>
      </c>
      <c r="G7" s="25" t="s">
        <v>166</v>
      </c>
      <c r="H7" s="28" t="s">
        <v>105</v>
      </c>
      <c r="I7" s="27"/>
      <c r="J7" s="27"/>
      <c r="K7" s="27"/>
    </row>
    <row r="8" customFormat="false" ht="22.35" hidden="false" customHeight="false" outlineLevel="0" collapsed="false">
      <c r="A8" s="21" t="s">
        <v>167</v>
      </c>
      <c r="B8" s="22" t="s">
        <v>168</v>
      </c>
      <c r="C8" s="22" t="s">
        <v>169</v>
      </c>
      <c r="D8" s="22" t="s">
        <v>163</v>
      </c>
      <c r="E8" s="22" t="s">
        <v>170</v>
      </c>
      <c r="F8" s="22" t="s">
        <v>171</v>
      </c>
      <c r="G8" s="22" t="s">
        <v>172</v>
      </c>
      <c r="H8" s="29" t="s">
        <v>105</v>
      </c>
    </row>
    <row r="9" customFormat="false" ht="22.35" hidden="false" customHeight="false" outlineLevel="0" collapsed="false">
      <c r="A9" s="24" t="s">
        <v>173</v>
      </c>
      <c r="B9" s="25" t="s">
        <v>168</v>
      </c>
      <c r="C9" s="25" t="s">
        <v>174</v>
      </c>
      <c r="D9" s="25" t="s">
        <v>175</v>
      </c>
      <c r="E9" s="25" t="s">
        <v>176</v>
      </c>
      <c r="F9" s="25" t="s">
        <v>118</v>
      </c>
      <c r="G9" s="25" t="s">
        <v>177</v>
      </c>
      <c r="H9" s="31" t="s">
        <v>138</v>
      </c>
      <c r="I9" s="27"/>
      <c r="J9" s="27"/>
      <c r="K9" s="27"/>
    </row>
    <row r="10" customFormat="false" ht="22.35" hidden="false" customHeight="false" outlineLevel="0" collapsed="false">
      <c r="A10" s="21" t="s">
        <v>178</v>
      </c>
      <c r="B10" s="22" t="s">
        <v>179</v>
      </c>
      <c r="C10" s="22" t="s">
        <v>180</v>
      </c>
      <c r="D10" s="22" t="s">
        <v>163</v>
      </c>
      <c r="E10" s="22" t="s">
        <v>181</v>
      </c>
      <c r="F10" s="22" t="s">
        <v>182</v>
      </c>
      <c r="G10" s="22" t="s">
        <v>183</v>
      </c>
      <c r="H10" s="23" t="s">
        <v>69</v>
      </c>
    </row>
    <row r="11" customFormat="false" ht="22.35" hidden="false" customHeight="false" outlineLevel="0" collapsed="false">
      <c r="A11" s="24" t="s">
        <v>184</v>
      </c>
      <c r="B11" s="25" t="s">
        <v>185</v>
      </c>
      <c r="C11" s="25" t="s">
        <v>186</v>
      </c>
      <c r="D11" s="25" t="s">
        <v>163</v>
      </c>
      <c r="E11" s="25" t="s">
        <v>187</v>
      </c>
      <c r="F11" s="25" t="s">
        <v>188</v>
      </c>
      <c r="G11" s="25" t="s">
        <v>189</v>
      </c>
      <c r="H11" s="28" t="s">
        <v>105</v>
      </c>
      <c r="I11" s="27"/>
      <c r="J11" s="27"/>
      <c r="K11" s="27"/>
    </row>
    <row r="12" customFormat="false" ht="22.35" hidden="false" customHeight="false" outlineLevel="0" collapsed="false">
      <c r="A12" s="21" t="s">
        <v>190</v>
      </c>
      <c r="B12" s="22" t="s">
        <v>191</v>
      </c>
      <c r="C12" s="22" t="s">
        <v>192</v>
      </c>
      <c r="D12" s="22" t="s">
        <v>163</v>
      </c>
      <c r="E12" s="22" t="s">
        <v>193</v>
      </c>
      <c r="F12" s="22" t="s">
        <v>194</v>
      </c>
      <c r="G12" s="22" t="s">
        <v>195</v>
      </c>
      <c r="H12" s="29" t="s">
        <v>105</v>
      </c>
    </row>
    <row r="13" customFormat="false" ht="22.35" hidden="false" customHeight="false" outlineLevel="0" collapsed="false">
      <c r="A13" s="24" t="s">
        <v>196</v>
      </c>
      <c r="B13" s="25" t="s">
        <v>197</v>
      </c>
      <c r="C13" s="25" t="s">
        <v>198</v>
      </c>
      <c r="D13" s="25" t="s">
        <v>163</v>
      </c>
      <c r="E13" s="25" t="s">
        <v>199</v>
      </c>
      <c r="F13" s="25" t="s">
        <v>200</v>
      </c>
      <c r="G13" s="25" t="s">
        <v>201</v>
      </c>
      <c r="H13" s="28" t="s">
        <v>105</v>
      </c>
      <c r="I13" s="27"/>
      <c r="J13" s="27"/>
      <c r="K13" s="27"/>
    </row>
    <row r="14" customFormat="false" ht="15" hidden="false" customHeight="false" outlineLevel="0" collapsed="false">
      <c r="A14" s="21" t="s">
        <v>202</v>
      </c>
      <c r="B14" s="22" t="s">
        <v>203</v>
      </c>
      <c r="C14" s="22" t="s">
        <v>204</v>
      </c>
      <c r="D14" s="22" t="s">
        <v>205</v>
      </c>
      <c r="E14" s="22" t="s">
        <v>206</v>
      </c>
      <c r="F14" s="22" t="s">
        <v>207</v>
      </c>
      <c r="G14" s="22" t="s">
        <v>208</v>
      </c>
      <c r="H14" s="29" t="s">
        <v>105</v>
      </c>
    </row>
    <row r="15" customFormat="false" ht="22.35" hidden="false" customHeight="false" outlineLevel="0" collapsed="false">
      <c r="A15" s="24" t="s">
        <v>209</v>
      </c>
      <c r="B15" s="25" t="s">
        <v>210</v>
      </c>
      <c r="C15" s="25" t="s">
        <v>211</v>
      </c>
      <c r="D15" s="25" t="s">
        <v>163</v>
      </c>
      <c r="E15" s="25" t="s">
        <v>212</v>
      </c>
      <c r="F15" s="25" t="s">
        <v>213</v>
      </c>
      <c r="G15" s="25" t="s">
        <v>214</v>
      </c>
      <c r="H15" s="28" t="s">
        <v>105</v>
      </c>
      <c r="I15" s="27"/>
      <c r="J15" s="27"/>
      <c r="K15" s="27"/>
    </row>
    <row r="16" customFormat="false" ht="32.8" hidden="false" customHeight="false" outlineLevel="0" collapsed="false">
      <c r="A16" s="21" t="s">
        <v>215</v>
      </c>
      <c r="B16" s="22" t="s">
        <v>216</v>
      </c>
      <c r="C16" s="22" t="s">
        <v>217</v>
      </c>
      <c r="D16" s="22" t="s">
        <v>218</v>
      </c>
      <c r="E16" s="22" t="s">
        <v>219</v>
      </c>
      <c r="F16" s="22" t="s">
        <v>220</v>
      </c>
      <c r="G16" s="22" t="s">
        <v>221</v>
      </c>
      <c r="H16" s="23" t="s">
        <v>69</v>
      </c>
    </row>
    <row r="17" customFormat="false" ht="22.35" hidden="false" customHeight="false" outlineLevel="0" collapsed="false">
      <c r="A17" s="24" t="s">
        <v>222</v>
      </c>
      <c r="B17" s="25" t="s">
        <v>223</v>
      </c>
      <c r="C17" s="25" t="s">
        <v>224</v>
      </c>
      <c r="D17" s="25" t="s">
        <v>225</v>
      </c>
      <c r="E17" s="25" t="s">
        <v>226</v>
      </c>
      <c r="F17" s="25" t="s">
        <v>118</v>
      </c>
      <c r="G17" s="25" t="s">
        <v>227</v>
      </c>
      <c r="H17" s="26" t="s">
        <v>69</v>
      </c>
      <c r="I17" s="27"/>
      <c r="J17" s="27"/>
      <c r="K17" s="27"/>
    </row>
    <row r="18" customFormat="false" ht="22.35" hidden="false" customHeight="false" outlineLevel="0" collapsed="false">
      <c r="A18" s="21" t="s">
        <v>228</v>
      </c>
      <c r="B18" s="22" t="s">
        <v>229</v>
      </c>
      <c r="C18" s="22" t="s">
        <v>230</v>
      </c>
      <c r="D18" s="22" t="s">
        <v>231</v>
      </c>
      <c r="E18" s="22" t="s">
        <v>232</v>
      </c>
      <c r="F18" s="22" t="s">
        <v>118</v>
      </c>
      <c r="G18" s="22" t="s">
        <v>233</v>
      </c>
      <c r="H18" s="29" t="s">
        <v>105</v>
      </c>
    </row>
    <row r="19" customFormat="false" ht="32.8" hidden="false" customHeight="false" outlineLevel="0" collapsed="false">
      <c r="A19" s="24" t="s">
        <v>234</v>
      </c>
      <c r="B19" s="25" t="s">
        <v>235</v>
      </c>
      <c r="C19" s="25" t="s">
        <v>236</v>
      </c>
      <c r="D19" s="25" t="s">
        <v>237</v>
      </c>
      <c r="E19" s="25" t="s">
        <v>238</v>
      </c>
      <c r="F19" s="25" t="s">
        <v>118</v>
      </c>
      <c r="G19" s="25" t="s">
        <v>239</v>
      </c>
      <c r="H19" s="28" t="s">
        <v>105</v>
      </c>
      <c r="I19" s="27"/>
      <c r="J19" s="27"/>
      <c r="K19" s="27"/>
    </row>
    <row r="20" customFormat="false" ht="15" hidden="false" customHeight="false" outlineLevel="0" collapsed="false">
      <c r="A20" s="21" t="s">
        <v>240</v>
      </c>
      <c r="B20" s="22" t="s">
        <v>241</v>
      </c>
      <c r="C20" s="22" t="s">
        <v>242</v>
      </c>
      <c r="D20" s="22" t="s">
        <v>243</v>
      </c>
      <c r="E20" s="22" t="s">
        <v>244</v>
      </c>
      <c r="F20" s="22" t="s">
        <v>118</v>
      </c>
      <c r="G20" s="22" t="s">
        <v>245</v>
      </c>
      <c r="H20" s="30" t="s">
        <v>138</v>
      </c>
    </row>
    <row r="21" customFormat="false" ht="15" hidden="false" customHeight="false" outlineLevel="0" collapsed="false">
      <c r="A21" s="24" t="s">
        <v>246</v>
      </c>
      <c r="B21" s="25" t="s">
        <v>247</v>
      </c>
      <c r="C21" s="25" t="s">
        <v>248</v>
      </c>
      <c r="D21" s="25" t="s">
        <v>249</v>
      </c>
      <c r="E21" s="25" t="s">
        <v>250</v>
      </c>
      <c r="F21" s="25" t="s">
        <v>118</v>
      </c>
      <c r="G21" s="25" t="s">
        <v>251</v>
      </c>
      <c r="H21" s="31" t="s">
        <v>138</v>
      </c>
      <c r="I21" s="27"/>
      <c r="J21" s="27"/>
      <c r="K21" s="27"/>
    </row>
    <row r="22" customFormat="false" ht="22.35" hidden="false" customHeight="false" outlineLevel="0" collapsed="false">
      <c r="A22" s="21" t="s">
        <v>252</v>
      </c>
      <c r="B22" s="22" t="s">
        <v>253</v>
      </c>
      <c r="C22" s="22" t="s">
        <v>254</v>
      </c>
      <c r="D22" s="22" t="s">
        <v>249</v>
      </c>
      <c r="E22" s="22" t="s">
        <v>255</v>
      </c>
      <c r="F22" s="22" t="s">
        <v>256</v>
      </c>
      <c r="G22" s="22" t="s">
        <v>257</v>
      </c>
      <c r="H22" s="23" t="s">
        <v>69</v>
      </c>
    </row>
    <row r="23" customFormat="false" ht="22.35" hidden="false" customHeight="false" outlineLevel="0" collapsed="false">
      <c r="A23" s="24" t="s">
        <v>258</v>
      </c>
      <c r="B23" s="25" t="s">
        <v>259</v>
      </c>
      <c r="C23" s="25" t="s">
        <v>260</v>
      </c>
      <c r="D23" s="25" t="s">
        <v>261</v>
      </c>
      <c r="E23" s="25" t="s">
        <v>262</v>
      </c>
      <c r="F23" s="25" t="s">
        <v>263</v>
      </c>
      <c r="G23" s="25" t="s">
        <v>264</v>
      </c>
      <c r="H23" s="26" t="s">
        <v>69</v>
      </c>
      <c r="I23" s="27"/>
      <c r="J23" s="27"/>
      <c r="K23" s="27"/>
    </row>
    <row r="24" customFormat="false" ht="32.8" hidden="false" customHeight="false" outlineLevel="0" collapsed="false">
      <c r="A24" s="21" t="s">
        <v>265</v>
      </c>
      <c r="B24" s="22" t="s">
        <v>259</v>
      </c>
      <c r="C24" s="22" t="s">
        <v>266</v>
      </c>
      <c r="D24" s="22" t="s">
        <v>267</v>
      </c>
      <c r="E24" s="22" t="s">
        <v>268</v>
      </c>
      <c r="F24" s="22" t="s">
        <v>269</v>
      </c>
      <c r="G24" s="22" t="s">
        <v>270</v>
      </c>
      <c r="H24" s="23" t="s">
        <v>69</v>
      </c>
    </row>
    <row r="25" customFormat="false" ht="22.35" hidden="false" customHeight="false" outlineLevel="0" collapsed="false">
      <c r="A25" s="24" t="s">
        <v>271</v>
      </c>
      <c r="B25" s="25" t="s">
        <v>259</v>
      </c>
      <c r="C25" s="25" t="s">
        <v>272</v>
      </c>
      <c r="D25" s="25" t="s">
        <v>267</v>
      </c>
      <c r="E25" s="25" t="s">
        <v>273</v>
      </c>
      <c r="F25" s="25" t="s">
        <v>118</v>
      </c>
      <c r="G25" s="25" t="s">
        <v>274</v>
      </c>
      <c r="H25" s="28" t="s">
        <v>105</v>
      </c>
      <c r="I25" s="27"/>
      <c r="J25" s="27"/>
      <c r="K25" s="27"/>
    </row>
    <row r="26" customFormat="false" ht="22.35" hidden="false" customHeight="false" outlineLevel="0" collapsed="false">
      <c r="A26" s="21" t="s">
        <v>275</v>
      </c>
      <c r="B26" s="22" t="s">
        <v>259</v>
      </c>
      <c r="C26" s="22" t="s">
        <v>276</v>
      </c>
      <c r="D26" s="22" t="s">
        <v>277</v>
      </c>
      <c r="E26" s="22" t="s">
        <v>278</v>
      </c>
      <c r="F26" s="22" t="s">
        <v>279</v>
      </c>
      <c r="G26" s="22" t="s">
        <v>280</v>
      </c>
      <c r="H26" s="30" t="s">
        <v>138</v>
      </c>
    </row>
    <row r="27" customFormat="false" ht="22.35" hidden="false" customHeight="false" outlineLevel="0" collapsed="false">
      <c r="A27" s="24" t="s">
        <v>281</v>
      </c>
      <c r="B27" s="25" t="s">
        <v>259</v>
      </c>
      <c r="C27" s="25" t="s">
        <v>282</v>
      </c>
      <c r="D27" s="25" t="s">
        <v>283</v>
      </c>
      <c r="E27" s="25" t="s">
        <v>284</v>
      </c>
      <c r="F27" s="25" t="s">
        <v>285</v>
      </c>
      <c r="G27" s="25" t="s">
        <v>286</v>
      </c>
      <c r="H27" s="26" t="s">
        <v>69</v>
      </c>
      <c r="I27" s="27"/>
      <c r="J27" s="27"/>
      <c r="K27" s="27"/>
    </row>
    <row r="28" customFormat="false" ht="43.25" hidden="false" customHeight="false" outlineLevel="0" collapsed="false">
      <c r="A28" s="21" t="s">
        <v>287</v>
      </c>
      <c r="B28" s="22" t="s">
        <v>288</v>
      </c>
      <c r="C28" s="22" t="s">
        <v>289</v>
      </c>
      <c r="D28" s="22" t="s">
        <v>290</v>
      </c>
      <c r="E28" s="22" t="s">
        <v>291</v>
      </c>
      <c r="F28" s="22" t="s">
        <v>292</v>
      </c>
      <c r="G28" s="22" t="s">
        <v>293</v>
      </c>
      <c r="H28" s="23" t="s">
        <v>69</v>
      </c>
    </row>
    <row r="29" customFormat="false" ht="32.8" hidden="false" customHeight="false" outlineLevel="0" collapsed="false">
      <c r="A29" s="24" t="s">
        <v>294</v>
      </c>
      <c r="B29" s="25" t="s">
        <v>295</v>
      </c>
      <c r="C29" s="25" t="s">
        <v>296</v>
      </c>
      <c r="D29" s="25" t="s">
        <v>297</v>
      </c>
      <c r="E29" s="25" t="s">
        <v>298</v>
      </c>
      <c r="F29" s="25" t="s">
        <v>118</v>
      </c>
      <c r="G29" s="25" t="s">
        <v>299</v>
      </c>
      <c r="H29" s="28" t="s">
        <v>105</v>
      </c>
      <c r="I29" s="27"/>
      <c r="J29" s="27"/>
      <c r="K29" s="27"/>
    </row>
    <row r="30" customFormat="false" ht="15" hidden="false" customHeight="false" outlineLevel="0" collapsed="false">
      <c r="A30" s="21" t="s">
        <v>300</v>
      </c>
      <c r="B30" s="22" t="s">
        <v>301</v>
      </c>
      <c r="C30" s="22" t="s">
        <v>302</v>
      </c>
      <c r="D30" s="22" t="s">
        <v>303</v>
      </c>
      <c r="E30" s="22" t="s">
        <v>304</v>
      </c>
      <c r="F30" s="22" t="s">
        <v>118</v>
      </c>
      <c r="G30" s="22" t="s">
        <v>305</v>
      </c>
      <c r="H30" s="30" t="s">
        <v>138</v>
      </c>
    </row>
  </sheetData>
  <mergeCells count="2">
    <mergeCell ref="A1:K1"/>
    <mergeCell ref="A2:K2"/>
  </mergeCells>
  <conditionalFormatting sqref="I4:I3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"Skipped"</formula>
    </cfRule>
    <cfRule type="cellIs" priority="6" operator="equal" aboveAverage="0" equalAverage="0" bottom="0" percent="0" rank="0" text="" dxfId="4">
      <formula>"Retest"</formula>
    </cfRule>
  </conditionalFormatting>
  <dataValidations count="2">
    <dataValidation allowBlank="true" error="Pick from the list" errorStyle="stop" operator="between" showDropDown="false" showErrorMessage="false" showInputMessage="false" sqref="I4:I30" type="list">
      <formula1>"Pass,Fail,Blocked,Skipped,Retest"</formula1>
      <formula2>0</formula2>
    </dataValidation>
    <dataValidation allowBlank="true" errorStyle="stop" operator="between" showDropDown="false" showErrorMessage="false" showInputMessage="false" sqref="J4:J30" type="list">
      <formula1>"S1-Critical,S2-Major,S3-Minor,S4-Cosmetic"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54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1" min="11" style="0" width="34"/>
  </cols>
  <sheetData>
    <row r="1" customFormat="false" ht="25.5" hidden="false" customHeight="true" outlineLevel="0" collapsed="false">
      <c r="A1" s="19" t="s">
        <v>306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7.75" hidden="false" customHeight="true" outlineLevel="0" collapsed="false">
      <c r="A2" s="20" t="s">
        <v>307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</row>
    <row r="4" customFormat="false" ht="22.35" hidden="false" customHeight="false" outlineLevel="0" collapsed="false">
      <c r="A4" s="21" t="s">
        <v>308</v>
      </c>
      <c r="B4" s="22" t="s">
        <v>63</v>
      </c>
      <c r="C4" s="22" t="s">
        <v>309</v>
      </c>
      <c r="D4" s="22" t="s">
        <v>310</v>
      </c>
      <c r="E4" s="22" t="s">
        <v>311</v>
      </c>
      <c r="F4" s="22" t="s">
        <v>312</v>
      </c>
      <c r="G4" s="22" t="s">
        <v>313</v>
      </c>
      <c r="H4" s="23" t="s">
        <v>69</v>
      </c>
    </row>
    <row r="5" customFormat="false" ht="43.25" hidden="false" customHeight="false" outlineLevel="0" collapsed="false">
      <c r="A5" s="24" t="s">
        <v>314</v>
      </c>
      <c r="B5" s="25" t="s">
        <v>315</v>
      </c>
      <c r="C5" s="25" t="s">
        <v>316</v>
      </c>
      <c r="D5" s="25" t="s">
        <v>317</v>
      </c>
      <c r="E5" s="25" t="s">
        <v>318</v>
      </c>
      <c r="F5" s="25" t="s">
        <v>319</v>
      </c>
      <c r="G5" s="25" t="s">
        <v>320</v>
      </c>
      <c r="H5" s="26" t="s">
        <v>69</v>
      </c>
      <c r="I5" s="27"/>
      <c r="J5" s="27"/>
      <c r="K5" s="27"/>
    </row>
    <row r="6" customFormat="false" ht="85.05" hidden="false" customHeight="false" outlineLevel="0" collapsed="false">
      <c r="A6" s="21" t="s">
        <v>321</v>
      </c>
      <c r="B6" s="22" t="s">
        <v>315</v>
      </c>
      <c r="C6" s="22" t="s">
        <v>322</v>
      </c>
      <c r="D6" s="22" t="s">
        <v>317</v>
      </c>
      <c r="E6" s="22" t="s">
        <v>323</v>
      </c>
      <c r="F6" s="22" t="s">
        <v>324</v>
      </c>
      <c r="G6" s="22" t="s">
        <v>325</v>
      </c>
      <c r="H6" s="23" t="s">
        <v>69</v>
      </c>
    </row>
    <row r="7" customFormat="false" ht="43.25" hidden="false" customHeight="false" outlineLevel="0" collapsed="false">
      <c r="A7" s="24" t="s">
        <v>326</v>
      </c>
      <c r="B7" s="25" t="s">
        <v>327</v>
      </c>
      <c r="C7" s="25" t="s">
        <v>328</v>
      </c>
      <c r="D7" s="25" t="s">
        <v>329</v>
      </c>
      <c r="E7" s="25" t="s">
        <v>330</v>
      </c>
      <c r="F7" s="25" t="s">
        <v>331</v>
      </c>
      <c r="G7" s="25" t="s">
        <v>332</v>
      </c>
      <c r="H7" s="26" t="s">
        <v>69</v>
      </c>
      <c r="I7" s="27"/>
      <c r="J7" s="27"/>
      <c r="K7" s="27"/>
    </row>
    <row r="8" customFormat="false" ht="32.8" hidden="false" customHeight="false" outlineLevel="0" collapsed="false">
      <c r="A8" s="21" t="s">
        <v>333</v>
      </c>
      <c r="B8" s="22" t="s">
        <v>327</v>
      </c>
      <c r="C8" s="22" t="s">
        <v>334</v>
      </c>
      <c r="D8" s="22" t="s">
        <v>317</v>
      </c>
      <c r="E8" s="22" t="s">
        <v>335</v>
      </c>
      <c r="F8" s="22" t="s">
        <v>336</v>
      </c>
      <c r="G8" s="22" t="s">
        <v>337</v>
      </c>
      <c r="H8" s="29" t="s">
        <v>105</v>
      </c>
    </row>
    <row r="9" customFormat="false" ht="15" hidden="false" customHeight="false" outlineLevel="0" collapsed="false">
      <c r="A9" s="24" t="s">
        <v>338</v>
      </c>
      <c r="B9" s="25" t="s">
        <v>327</v>
      </c>
      <c r="C9" s="25" t="s">
        <v>339</v>
      </c>
      <c r="D9" s="25" t="s">
        <v>340</v>
      </c>
      <c r="E9" s="25" t="s">
        <v>341</v>
      </c>
      <c r="F9" s="25" t="s">
        <v>118</v>
      </c>
      <c r="G9" s="25" t="s">
        <v>342</v>
      </c>
      <c r="H9" s="28" t="s">
        <v>105</v>
      </c>
      <c r="I9" s="27"/>
      <c r="J9" s="27"/>
      <c r="K9" s="27"/>
    </row>
    <row r="10" customFormat="false" ht="32.8" hidden="false" customHeight="false" outlineLevel="0" collapsed="false">
      <c r="A10" s="21" t="s">
        <v>343</v>
      </c>
      <c r="B10" s="22" t="s">
        <v>344</v>
      </c>
      <c r="C10" s="22" t="s">
        <v>345</v>
      </c>
      <c r="D10" s="22" t="s">
        <v>317</v>
      </c>
      <c r="E10" s="22" t="s">
        <v>346</v>
      </c>
      <c r="F10" s="22" t="s">
        <v>118</v>
      </c>
      <c r="G10" s="22" t="s">
        <v>347</v>
      </c>
      <c r="H10" s="29" t="s">
        <v>105</v>
      </c>
    </row>
    <row r="11" customFormat="false" ht="22.35" hidden="false" customHeight="false" outlineLevel="0" collapsed="false">
      <c r="A11" s="24" t="s">
        <v>348</v>
      </c>
      <c r="B11" s="25" t="s">
        <v>349</v>
      </c>
      <c r="C11" s="25" t="s">
        <v>350</v>
      </c>
      <c r="D11" s="25" t="s">
        <v>317</v>
      </c>
      <c r="E11" s="25" t="s">
        <v>351</v>
      </c>
      <c r="F11" s="25" t="s">
        <v>352</v>
      </c>
      <c r="G11" s="25" t="s">
        <v>353</v>
      </c>
      <c r="H11" s="26" t="s">
        <v>69</v>
      </c>
      <c r="I11" s="27"/>
      <c r="J11" s="27"/>
      <c r="K11" s="27"/>
    </row>
    <row r="12" customFormat="false" ht="22.35" hidden="false" customHeight="false" outlineLevel="0" collapsed="false">
      <c r="A12" s="21" t="s">
        <v>354</v>
      </c>
      <c r="B12" s="22" t="s">
        <v>355</v>
      </c>
      <c r="C12" s="22" t="s">
        <v>356</v>
      </c>
      <c r="D12" s="22" t="s">
        <v>317</v>
      </c>
      <c r="E12" s="22" t="s">
        <v>357</v>
      </c>
      <c r="F12" s="22" t="s">
        <v>358</v>
      </c>
      <c r="G12" s="22" t="s">
        <v>359</v>
      </c>
      <c r="H12" s="29" t="s">
        <v>105</v>
      </c>
    </row>
    <row r="13" customFormat="false" ht="15" hidden="false" customHeight="false" outlineLevel="0" collapsed="false">
      <c r="A13" s="24" t="s">
        <v>360</v>
      </c>
      <c r="B13" s="25" t="s">
        <v>361</v>
      </c>
      <c r="C13" s="25" t="s">
        <v>362</v>
      </c>
      <c r="D13" s="25" t="s">
        <v>363</v>
      </c>
      <c r="E13" s="25" t="s">
        <v>364</v>
      </c>
      <c r="F13" s="25" t="s">
        <v>365</v>
      </c>
      <c r="G13" s="25" t="s">
        <v>366</v>
      </c>
      <c r="H13" s="26" t="s">
        <v>69</v>
      </c>
      <c r="I13" s="27"/>
      <c r="J13" s="27"/>
      <c r="K13" s="27"/>
    </row>
    <row r="14" customFormat="false" ht="22.35" hidden="false" customHeight="false" outlineLevel="0" collapsed="false">
      <c r="A14" s="21" t="s">
        <v>367</v>
      </c>
      <c r="B14" s="22" t="s">
        <v>368</v>
      </c>
      <c r="C14" s="22" t="s">
        <v>369</v>
      </c>
      <c r="D14" s="22" t="s">
        <v>370</v>
      </c>
      <c r="E14" s="22" t="s">
        <v>371</v>
      </c>
      <c r="F14" s="22" t="s">
        <v>118</v>
      </c>
      <c r="G14" s="22" t="s">
        <v>372</v>
      </c>
      <c r="H14" s="23" t="s">
        <v>69</v>
      </c>
    </row>
    <row r="15" customFormat="false" ht="15" hidden="false" customHeight="false" outlineLevel="0" collapsed="false">
      <c r="A15" s="24" t="s">
        <v>373</v>
      </c>
      <c r="B15" s="25" t="s">
        <v>368</v>
      </c>
      <c r="C15" s="25" t="s">
        <v>374</v>
      </c>
      <c r="D15" s="25" t="s">
        <v>375</v>
      </c>
      <c r="E15" s="25" t="s">
        <v>376</v>
      </c>
      <c r="F15" s="25" t="s">
        <v>118</v>
      </c>
      <c r="G15" s="25" t="s">
        <v>377</v>
      </c>
      <c r="H15" s="28" t="s">
        <v>105</v>
      </c>
      <c r="I15" s="27"/>
      <c r="J15" s="27"/>
      <c r="K15" s="27"/>
    </row>
    <row r="16" customFormat="false" ht="22.35" hidden="false" customHeight="false" outlineLevel="0" collapsed="false">
      <c r="A16" s="21" t="s">
        <v>378</v>
      </c>
      <c r="B16" s="22" t="s">
        <v>368</v>
      </c>
      <c r="C16" s="22" t="s">
        <v>379</v>
      </c>
      <c r="D16" s="22" t="s">
        <v>380</v>
      </c>
      <c r="E16" s="22" t="s">
        <v>381</v>
      </c>
      <c r="F16" s="22" t="s">
        <v>382</v>
      </c>
      <c r="G16" s="22" t="s">
        <v>383</v>
      </c>
      <c r="H16" s="29" t="s">
        <v>105</v>
      </c>
    </row>
    <row r="17" customFormat="false" ht="22.35" hidden="false" customHeight="false" outlineLevel="0" collapsed="false">
      <c r="A17" s="24" t="s">
        <v>384</v>
      </c>
      <c r="B17" s="25" t="s">
        <v>368</v>
      </c>
      <c r="C17" s="25" t="s">
        <v>385</v>
      </c>
      <c r="D17" s="25" t="s">
        <v>380</v>
      </c>
      <c r="E17" s="25" t="s">
        <v>386</v>
      </c>
      <c r="F17" s="25" t="s">
        <v>387</v>
      </c>
      <c r="G17" s="25" t="s">
        <v>388</v>
      </c>
      <c r="H17" s="28" t="s">
        <v>105</v>
      </c>
      <c r="I17" s="27"/>
      <c r="J17" s="27"/>
      <c r="K17" s="27"/>
    </row>
    <row r="18" customFormat="false" ht="15" hidden="false" customHeight="false" outlineLevel="0" collapsed="false">
      <c r="A18" s="21" t="s">
        <v>389</v>
      </c>
      <c r="B18" s="22" t="s">
        <v>368</v>
      </c>
      <c r="C18" s="22" t="s">
        <v>390</v>
      </c>
      <c r="D18" s="22" t="s">
        <v>375</v>
      </c>
      <c r="E18" s="22" t="s">
        <v>391</v>
      </c>
      <c r="F18" s="22" t="s">
        <v>118</v>
      </c>
      <c r="G18" s="22" t="s">
        <v>392</v>
      </c>
      <c r="H18" s="29" t="s">
        <v>105</v>
      </c>
    </row>
    <row r="19" customFormat="false" ht="22.35" hidden="false" customHeight="false" outlineLevel="0" collapsed="false">
      <c r="A19" s="24" t="s">
        <v>393</v>
      </c>
      <c r="B19" s="25" t="s">
        <v>394</v>
      </c>
      <c r="C19" s="25" t="s">
        <v>395</v>
      </c>
      <c r="D19" s="25" t="s">
        <v>396</v>
      </c>
      <c r="E19" s="25" t="s">
        <v>397</v>
      </c>
      <c r="F19" s="25" t="s">
        <v>398</v>
      </c>
      <c r="G19" s="25" t="s">
        <v>399</v>
      </c>
      <c r="H19" s="28" t="s">
        <v>105</v>
      </c>
      <c r="I19" s="27"/>
      <c r="J19" s="27"/>
      <c r="K19" s="27"/>
    </row>
    <row r="20" customFormat="false" ht="22.35" hidden="false" customHeight="false" outlineLevel="0" collapsed="false">
      <c r="A20" s="21" t="s">
        <v>400</v>
      </c>
      <c r="B20" s="22" t="s">
        <v>401</v>
      </c>
      <c r="C20" s="22" t="s">
        <v>402</v>
      </c>
      <c r="D20" s="22" t="s">
        <v>403</v>
      </c>
      <c r="E20" s="22" t="s">
        <v>404</v>
      </c>
      <c r="F20" s="22" t="s">
        <v>118</v>
      </c>
      <c r="G20" s="22" t="s">
        <v>405</v>
      </c>
      <c r="H20" s="29" t="s">
        <v>105</v>
      </c>
    </row>
    <row r="21" customFormat="false" ht="32.8" hidden="false" customHeight="false" outlineLevel="0" collapsed="false">
      <c r="A21" s="24" t="s">
        <v>406</v>
      </c>
      <c r="B21" s="25" t="s">
        <v>407</v>
      </c>
      <c r="C21" s="25" t="s">
        <v>408</v>
      </c>
      <c r="D21" s="25" t="s">
        <v>409</v>
      </c>
      <c r="E21" s="25" t="s">
        <v>410</v>
      </c>
      <c r="F21" s="25" t="s">
        <v>118</v>
      </c>
      <c r="G21" s="25" t="s">
        <v>411</v>
      </c>
      <c r="H21" s="28" t="s">
        <v>105</v>
      </c>
      <c r="I21" s="27"/>
      <c r="J21" s="27"/>
      <c r="K21" s="27"/>
    </row>
    <row r="22" customFormat="false" ht="22.35" hidden="false" customHeight="false" outlineLevel="0" collapsed="false">
      <c r="A22" s="21" t="s">
        <v>412</v>
      </c>
      <c r="B22" s="22" t="s">
        <v>413</v>
      </c>
      <c r="C22" s="22" t="s">
        <v>414</v>
      </c>
      <c r="D22" s="22" t="s">
        <v>415</v>
      </c>
      <c r="E22" s="22" t="s">
        <v>416</v>
      </c>
      <c r="F22" s="22" t="s">
        <v>417</v>
      </c>
      <c r="G22" s="22" t="s">
        <v>418</v>
      </c>
      <c r="H22" s="30" t="s">
        <v>138</v>
      </c>
    </row>
    <row r="23" customFormat="false" ht="22.35" hidden="false" customHeight="false" outlineLevel="0" collapsed="false">
      <c r="A23" s="24" t="s">
        <v>419</v>
      </c>
      <c r="B23" s="25" t="s">
        <v>133</v>
      </c>
      <c r="C23" s="25" t="s">
        <v>420</v>
      </c>
      <c r="D23" s="25" t="s">
        <v>421</v>
      </c>
      <c r="E23" s="25" t="s">
        <v>422</v>
      </c>
      <c r="F23" s="25" t="s">
        <v>118</v>
      </c>
      <c r="G23" s="25" t="s">
        <v>423</v>
      </c>
      <c r="H23" s="28" t="s">
        <v>105</v>
      </c>
      <c r="I23" s="27"/>
      <c r="J23" s="27"/>
      <c r="K23" s="27"/>
    </row>
  </sheetData>
  <mergeCells count="2">
    <mergeCell ref="A1:K1"/>
    <mergeCell ref="A2:K2"/>
  </mergeCells>
  <conditionalFormatting sqref="I4:I23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"Skipped"</formula>
    </cfRule>
    <cfRule type="cellIs" priority="6" operator="equal" aboveAverage="0" equalAverage="0" bottom="0" percent="0" rank="0" text="" dxfId="4">
      <formula>"Retest"</formula>
    </cfRule>
  </conditionalFormatting>
  <dataValidations count="2">
    <dataValidation allowBlank="true" error="Pick from the list" errorStyle="stop" operator="between" showDropDown="false" showErrorMessage="false" showInputMessage="false" sqref="I4:I23" type="list">
      <formula1>"Pass,Fail,Blocked,Skipped,Retest"</formula1>
      <formula2>0</formula2>
    </dataValidation>
    <dataValidation allowBlank="true" errorStyle="stop" operator="between" showDropDown="false" showErrorMessage="false" showInputMessage="false" sqref="J4:J23" type="list">
      <formula1>"S1-Critical,S2-Major,S3-Minor,S4-Cosmetic"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54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1" min="11" style="0" width="34"/>
  </cols>
  <sheetData>
    <row r="1" customFormat="false" ht="25.5" hidden="false" customHeight="true" outlineLevel="0" collapsed="false">
      <c r="A1" s="19" t="s">
        <v>424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7.75" hidden="false" customHeight="true" outlineLevel="0" collapsed="false">
      <c r="A2" s="20" t="s">
        <v>425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</row>
    <row r="4" customFormat="false" ht="43.25" hidden="false" customHeight="false" outlineLevel="0" collapsed="false">
      <c r="A4" s="21" t="s">
        <v>426</v>
      </c>
      <c r="B4" s="22" t="s">
        <v>63</v>
      </c>
      <c r="C4" s="22" t="s">
        <v>427</v>
      </c>
      <c r="D4" s="22" t="s">
        <v>428</v>
      </c>
      <c r="E4" s="22" t="s">
        <v>429</v>
      </c>
      <c r="F4" s="22" t="s">
        <v>430</v>
      </c>
      <c r="G4" s="22" t="s">
        <v>431</v>
      </c>
      <c r="H4" s="23" t="s">
        <v>69</v>
      </c>
    </row>
    <row r="5" customFormat="false" ht="15" hidden="false" customHeight="false" outlineLevel="0" collapsed="false">
      <c r="A5" s="24" t="s">
        <v>432</v>
      </c>
      <c r="B5" s="25" t="s">
        <v>63</v>
      </c>
      <c r="C5" s="25" t="s">
        <v>433</v>
      </c>
      <c r="D5" s="25" t="s">
        <v>434</v>
      </c>
      <c r="E5" s="25" t="s">
        <v>435</v>
      </c>
      <c r="F5" s="25" t="s">
        <v>436</v>
      </c>
      <c r="G5" s="25" t="s">
        <v>437</v>
      </c>
      <c r="H5" s="26" t="s">
        <v>69</v>
      </c>
      <c r="I5" s="27"/>
      <c r="J5" s="27"/>
      <c r="K5" s="27"/>
    </row>
    <row r="6" customFormat="false" ht="22.35" hidden="false" customHeight="false" outlineLevel="0" collapsed="false">
      <c r="A6" s="21" t="s">
        <v>438</v>
      </c>
      <c r="B6" s="22" t="s">
        <v>439</v>
      </c>
      <c r="C6" s="22" t="s">
        <v>440</v>
      </c>
      <c r="D6" s="22" t="s">
        <v>249</v>
      </c>
      <c r="E6" s="22" t="s">
        <v>441</v>
      </c>
      <c r="F6" s="22" t="s">
        <v>442</v>
      </c>
      <c r="G6" s="22" t="s">
        <v>443</v>
      </c>
      <c r="H6" s="23" t="s">
        <v>69</v>
      </c>
    </row>
    <row r="7" customFormat="false" ht="32.8" hidden="false" customHeight="false" outlineLevel="0" collapsed="false">
      <c r="A7" s="24" t="s">
        <v>444</v>
      </c>
      <c r="B7" s="25" t="s">
        <v>445</v>
      </c>
      <c r="C7" s="25" t="s">
        <v>446</v>
      </c>
      <c r="D7" s="25" t="s">
        <v>434</v>
      </c>
      <c r="E7" s="25" t="s">
        <v>447</v>
      </c>
      <c r="F7" s="25" t="s">
        <v>118</v>
      </c>
      <c r="G7" s="25" t="s">
        <v>448</v>
      </c>
      <c r="H7" s="28" t="s">
        <v>105</v>
      </c>
      <c r="I7" s="27"/>
      <c r="J7" s="27"/>
      <c r="K7" s="27"/>
    </row>
    <row r="8" customFormat="false" ht="22.35" hidden="false" customHeight="false" outlineLevel="0" collapsed="false">
      <c r="A8" s="21" t="s">
        <v>449</v>
      </c>
      <c r="B8" s="22" t="s">
        <v>450</v>
      </c>
      <c r="C8" s="22" t="s">
        <v>451</v>
      </c>
      <c r="D8" s="22" t="s">
        <v>452</v>
      </c>
      <c r="E8" s="22" t="s">
        <v>453</v>
      </c>
      <c r="F8" s="22" t="s">
        <v>454</v>
      </c>
      <c r="G8" s="22" t="s">
        <v>455</v>
      </c>
      <c r="H8" s="29" t="s">
        <v>105</v>
      </c>
    </row>
    <row r="9" customFormat="false" ht="15" hidden="false" customHeight="false" outlineLevel="0" collapsed="false">
      <c r="A9" s="24" t="s">
        <v>456</v>
      </c>
      <c r="B9" s="25" t="s">
        <v>457</v>
      </c>
      <c r="C9" s="25" t="s">
        <v>458</v>
      </c>
      <c r="D9" s="25" t="s">
        <v>459</v>
      </c>
      <c r="E9" s="25" t="s">
        <v>460</v>
      </c>
      <c r="F9" s="25" t="s">
        <v>118</v>
      </c>
      <c r="G9" s="25" t="s">
        <v>461</v>
      </c>
      <c r="H9" s="28" t="s">
        <v>105</v>
      </c>
      <c r="I9" s="27"/>
      <c r="J9" s="27"/>
      <c r="K9" s="27"/>
    </row>
    <row r="10" customFormat="false" ht="15" hidden="false" customHeight="false" outlineLevel="0" collapsed="false">
      <c r="A10" s="21" t="s">
        <v>462</v>
      </c>
      <c r="B10" s="22" t="s">
        <v>463</v>
      </c>
      <c r="C10" s="22" t="s">
        <v>464</v>
      </c>
      <c r="D10" s="22" t="s">
        <v>465</v>
      </c>
      <c r="E10" s="22" t="s">
        <v>466</v>
      </c>
      <c r="F10" s="22" t="s">
        <v>118</v>
      </c>
      <c r="G10" s="22" t="s">
        <v>467</v>
      </c>
      <c r="H10" s="29" t="s">
        <v>105</v>
      </c>
    </row>
    <row r="11" customFormat="false" ht="15" hidden="false" customHeight="false" outlineLevel="0" collapsed="false">
      <c r="A11" s="24" t="s">
        <v>468</v>
      </c>
      <c r="B11" s="25" t="s">
        <v>469</v>
      </c>
      <c r="C11" s="25" t="s">
        <v>470</v>
      </c>
      <c r="D11" s="25" t="s">
        <v>471</v>
      </c>
      <c r="E11" s="25" t="s">
        <v>391</v>
      </c>
      <c r="F11" s="25" t="s">
        <v>118</v>
      </c>
      <c r="G11" s="25" t="s">
        <v>472</v>
      </c>
      <c r="H11" s="28" t="s">
        <v>105</v>
      </c>
      <c r="I11" s="27"/>
      <c r="J11" s="27"/>
      <c r="K11" s="27"/>
    </row>
    <row r="12" customFormat="false" ht="22.35" hidden="false" customHeight="false" outlineLevel="0" collapsed="false">
      <c r="A12" s="21" t="s">
        <v>473</v>
      </c>
      <c r="B12" s="22" t="s">
        <v>474</v>
      </c>
      <c r="C12" s="22" t="s">
        <v>475</v>
      </c>
      <c r="D12" s="22" t="s">
        <v>476</v>
      </c>
      <c r="E12" s="22" t="s">
        <v>477</v>
      </c>
      <c r="F12" s="22" t="s">
        <v>118</v>
      </c>
      <c r="G12" s="22" t="s">
        <v>478</v>
      </c>
      <c r="H12" s="30" t="s">
        <v>138</v>
      </c>
    </row>
  </sheetData>
  <mergeCells count="2">
    <mergeCell ref="A1:K1"/>
    <mergeCell ref="A2:K2"/>
  </mergeCells>
  <conditionalFormatting sqref="I4:I1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"Skipped"</formula>
    </cfRule>
    <cfRule type="cellIs" priority="6" operator="equal" aboveAverage="0" equalAverage="0" bottom="0" percent="0" rank="0" text="" dxfId="4">
      <formula>"Retest"</formula>
    </cfRule>
  </conditionalFormatting>
  <dataValidations count="2">
    <dataValidation allowBlank="true" error="Pick from the list" errorStyle="stop" operator="between" showDropDown="false" showErrorMessage="false" showInputMessage="false" sqref="I4:I12" type="list">
      <formula1>"Pass,Fail,Blocked,Skipped,Retest"</formula1>
      <formula2>0</formula2>
    </dataValidation>
    <dataValidation allowBlank="true" errorStyle="stop" operator="between" showDropDown="false" showErrorMessage="false" showInputMessage="false" sqref="J4:J12" type="list">
      <formula1>"S1-Critical,S2-Major,S3-Minor,S4-Cosmetic"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54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1" min="11" style="0" width="34"/>
  </cols>
  <sheetData>
    <row r="1" customFormat="false" ht="25.5" hidden="false" customHeight="true" outlineLevel="0" collapsed="false">
      <c r="A1" s="19" t="s">
        <v>479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7.75" hidden="false" customHeight="true" outlineLevel="0" collapsed="false">
      <c r="A2" s="20" t="s">
        <v>480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</row>
    <row r="4" customFormat="false" ht="22.35" hidden="false" customHeight="false" outlineLevel="0" collapsed="false">
      <c r="A4" s="21" t="s">
        <v>481</v>
      </c>
      <c r="B4" s="22" t="s">
        <v>482</v>
      </c>
      <c r="C4" s="22" t="s">
        <v>483</v>
      </c>
      <c r="D4" s="22" t="s">
        <v>484</v>
      </c>
      <c r="E4" s="22" t="s">
        <v>485</v>
      </c>
      <c r="F4" s="22" t="s">
        <v>118</v>
      </c>
      <c r="G4" s="22" t="s">
        <v>486</v>
      </c>
      <c r="H4" s="23" t="s">
        <v>69</v>
      </c>
    </row>
    <row r="5" customFormat="false" ht="15" hidden="false" customHeight="false" outlineLevel="0" collapsed="false">
      <c r="A5" s="24" t="s">
        <v>487</v>
      </c>
      <c r="B5" s="25" t="s">
        <v>488</v>
      </c>
      <c r="C5" s="25" t="s">
        <v>489</v>
      </c>
      <c r="D5" s="25" t="s">
        <v>490</v>
      </c>
      <c r="E5" s="25" t="s">
        <v>491</v>
      </c>
      <c r="F5" s="25" t="s">
        <v>492</v>
      </c>
      <c r="G5" s="25" t="s">
        <v>493</v>
      </c>
      <c r="H5" s="26" t="s">
        <v>69</v>
      </c>
      <c r="I5" s="27"/>
      <c r="J5" s="27"/>
      <c r="K5" s="27"/>
    </row>
    <row r="6" customFormat="false" ht="15" hidden="false" customHeight="false" outlineLevel="0" collapsed="false">
      <c r="A6" s="21" t="s">
        <v>494</v>
      </c>
      <c r="B6" s="22" t="s">
        <v>495</v>
      </c>
      <c r="C6" s="22" t="s">
        <v>496</v>
      </c>
      <c r="D6" s="22" t="s">
        <v>497</v>
      </c>
      <c r="E6" s="22" t="s">
        <v>498</v>
      </c>
      <c r="F6" s="22" t="s">
        <v>499</v>
      </c>
      <c r="G6" s="22" t="s">
        <v>500</v>
      </c>
      <c r="H6" s="23" t="s">
        <v>69</v>
      </c>
    </row>
    <row r="7" customFormat="false" ht="22.35" hidden="false" customHeight="false" outlineLevel="0" collapsed="false">
      <c r="A7" s="24" t="s">
        <v>501</v>
      </c>
      <c r="B7" s="25" t="s">
        <v>502</v>
      </c>
      <c r="C7" s="25" t="s">
        <v>503</v>
      </c>
      <c r="D7" s="25" t="s">
        <v>504</v>
      </c>
      <c r="E7" s="25" t="s">
        <v>505</v>
      </c>
      <c r="F7" s="25" t="s">
        <v>506</v>
      </c>
      <c r="G7" s="25" t="s">
        <v>507</v>
      </c>
      <c r="H7" s="28" t="s">
        <v>105</v>
      </c>
      <c r="I7" s="27"/>
      <c r="J7" s="27"/>
      <c r="K7" s="27"/>
    </row>
    <row r="8" customFormat="false" ht="22.35" hidden="false" customHeight="false" outlineLevel="0" collapsed="false">
      <c r="A8" s="21" t="s">
        <v>508</v>
      </c>
      <c r="B8" s="22" t="s">
        <v>509</v>
      </c>
      <c r="C8" s="22" t="s">
        <v>510</v>
      </c>
      <c r="D8" s="22" t="s">
        <v>511</v>
      </c>
      <c r="E8" s="22" t="s">
        <v>512</v>
      </c>
      <c r="F8" s="22" t="s">
        <v>118</v>
      </c>
      <c r="G8" s="22" t="s">
        <v>513</v>
      </c>
      <c r="H8" s="29" t="s">
        <v>105</v>
      </c>
    </row>
    <row r="9" customFormat="false" ht="22.35" hidden="false" customHeight="false" outlineLevel="0" collapsed="false">
      <c r="A9" s="24" t="s">
        <v>514</v>
      </c>
      <c r="B9" s="25" t="s">
        <v>515</v>
      </c>
      <c r="C9" s="25" t="s">
        <v>516</v>
      </c>
      <c r="D9" s="25" t="s">
        <v>517</v>
      </c>
      <c r="E9" s="25" t="s">
        <v>518</v>
      </c>
      <c r="F9" s="25" t="s">
        <v>118</v>
      </c>
      <c r="G9" s="25" t="s">
        <v>519</v>
      </c>
      <c r="H9" s="31" t="s">
        <v>138</v>
      </c>
      <c r="I9" s="27"/>
      <c r="J9" s="27"/>
      <c r="K9" s="27"/>
    </row>
    <row r="10" customFormat="false" ht="22.35" hidden="false" customHeight="false" outlineLevel="0" collapsed="false">
      <c r="A10" s="21" t="s">
        <v>520</v>
      </c>
      <c r="B10" s="22" t="s">
        <v>521</v>
      </c>
      <c r="C10" s="22" t="s">
        <v>522</v>
      </c>
      <c r="D10" s="22" t="s">
        <v>523</v>
      </c>
      <c r="E10" s="22" t="s">
        <v>524</v>
      </c>
      <c r="F10" s="22" t="s">
        <v>118</v>
      </c>
      <c r="G10" s="22" t="s">
        <v>525</v>
      </c>
      <c r="H10" s="29" t="s">
        <v>105</v>
      </c>
    </row>
    <row r="11" customFormat="false" ht="22.35" hidden="false" customHeight="false" outlineLevel="0" collapsed="false">
      <c r="A11" s="24" t="s">
        <v>526</v>
      </c>
      <c r="B11" s="25" t="s">
        <v>527</v>
      </c>
      <c r="C11" s="25" t="s">
        <v>528</v>
      </c>
      <c r="D11" s="25" t="s">
        <v>529</v>
      </c>
      <c r="E11" s="25" t="s">
        <v>530</v>
      </c>
      <c r="F11" s="25" t="s">
        <v>118</v>
      </c>
      <c r="G11" s="25" t="s">
        <v>531</v>
      </c>
      <c r="H11" s="28" t="s">
        <v>105</v>
      </c>
      <c r="I11" s="27"/>
      <c r="J11" s="27"/>
      <c r="K11" s="27"/>
    </row>
    <row r="12" customFormat="false" ht="15" hidden="false" customHeight="false" outlineLevel="0" collapsed="false">
      <c r="A12" s="21" t="s">
        <v>532</v>
      </c>
      <c r="B12" s="22" t="s">
        <v>533</v>
      </c>
      <c r="C12" s="22" t="s">
        <v>534</v>
      </c>
      <c r="D12" s="22" t="s">
        <v>535</v>
      </c>
      <c r="E12" s="22" t="s">
        <v>536</v>
      </c>
      <c r="F12" s="22" t="s">
        <v>118</v>
      </c>
      <c r="G12" s="22" t="s">
        <v>537</v>
      </c>
      <c r="H12" s="30" t="s">
        <v>138</v>
      </c>
    </row>
    <row r="13" customFormat="false" ht="15" hidden="false" customHeight="false" outlineLevel="0" collapsed="false">
      <c r="A13" s="24" t="s">
        <v>538</v>
      </c>
      <c r="B13" s="25" t="s">
        <v>469</v>
      </c>
      <c r="C13" s="25" t="s">
        <v>539</v>
      </c>
      <c r="D13" s="25" t="s">
        <v>540</v>
      </c>
      <c r="E13" s="25" t="s">
        <v>541</v>
      </c>
      <c r="F13" s="25" t="s">
        <v>118</v>
      </c>
      <c r="G13" s="25" t="s">
        <v>542</v>
      </c>
      <c r="H13" s="28" t="s">
        <v>105</v>
      </c>
      <c r="I13" s="27"/>
      <c r="J13" s="27"/>
      <c r="K13" s="27"/>
    </row>
    <row r="14" customFormat="false" ht="22.35" hidden="false" customHeight="false" outlineLevel="0" collapsed="false">
      <c r="A14" s="21" t="s">
        <v>543</v>
      </c>
      <c r="B14" s="22" t="s">
        <v>401</v>
      </c>
      <c r="C14" s="22" t="s">
        <v>544</v>
      </c>
      <c r="D14" s="22" t="s">
        <v>545</v>
      </c>
      <c r="E14" s="22" t="s">
        <v>546</v>
      </c>
      <c r="F14" s="22" t="s">
        <v>118</v>
      </c>
      <c r="G14" s="22" t="s">
        <v>547</v>
      </c>
      <c r="H14" s="30" t="s">
        <v>138</v>
      </c>
    </row>
    <row r="15" customFormat="false" ht="22.35" hidden="false" customHeight="false" outlineLevel="0" collapsed="false">
      <c r="A15" s="24" t="s">
        <v>548</v>
      </c>
      <c r="B15" s="25" t="s">
        <v>549</v>
      </c>
      <c r="C15" s="25" t="s">
        <v>550</v>
      </c>
      <c r="D15" s="25" t="s">
        <v>551</v>
      </c>
      <c r="E15" s="25" t="s">
        <v>552</v>
      </c>
      <c r="F15" s="25" t="s">
        <v>118</v>
      </c>
      <c r="G15" s="25" t="s">
        <v>553</v>
      </c>
      <c r="H15" s="31" t="s">
        <v>138</v>
      </c>
      <c r="I15" s="27"/>
      <c r="J15" s="27"/>
      <c r="K15" s="27"/>
    </row>
  </sheetData>
  <mergeCells count="2">
    <mergeCell ref="A1:K1"/>
    <mergeCell ref="A2:K2"/>
  </mergeCells>
  <conditionalFormatting sqref="I4:I15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"Skipped"</formula>
    </cfRule>
    <cfRule type="cellIs" priority="6" operator="equal" aboveAverage="0" equalAverage="0" bottom="0" percent="0" rank="0" text="" dxfId="4">
      <formula>"Retest"</formula>
    </cfRule>
  </conditionalFormatting>
  <dataValidations count="2">
    <dataValidation allowBlank="true" error="Pick from the list" errorStyle="stop" operator="between" showDropDown="false" showErrorMessage="false" showInputMessage="false" sqref="I4:I15" type="list">
      <formula1>"Pass,Fail,Blocked,Skipped,Retest"</formula1>
      <formula2>0</formula2>
    </dataValidation>
    <dataValidation allowBlank="true" errorStyle="stop" operator="between" showDropDown="false" showErrorMessage="false" showInputMessage="false" sqref="J4:J15" type="list">
      <formula1>"S1-Critical,S2-Major,S3-Minor,S4-Cosmetic"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54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1" min="11" style="0" width="34"/>
  </cols>
  <sheetData>
    <row r="1" customFormat="false" ht="25.5" hidden="false" customHeight="true" outlineLevel="0" collapsed="false">
      <c r="A1" s="19" t="s">
        <v>554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7.75" hidden="false" customHeight="true" outlineLevel="0" collapsed="false">
      <c r="A2" s="20" t="s">
        <v>555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</row>
    <row r="4" customFormat="false" ht="22.35" hidden="false" customHeight="false" outlineLevel="0" collapsed="false">
      <c r="A4" s="21" t="s">
        <v>556</v>
      </c>
      <c r="B4" s="22" t="s">
        <v>557</v>
      </c>
      <c r="C4" s="22" t="s">
        <v>558</v>
      </c>
      <c r="D4" s="22" t="s">
        <v>559</v>
      </c>
      <c r="E4" s="22" t="s">
        <v>560</v>
      </c>
      <c r="F4" s="22" t="s">
        <v>118</v>
      </c>
      <c r="G4" s="22" t="s">
        <v>561</v>
      </c>
      <c r="H4" s="23" t="s">
        <v>69</v>
      </c>
    </row>
    <row r="5" customFormat="false" ht="22.35" hidden="false" customHeight="false" outlineLevel="0" collapsed="false">
      <c r="A5" s="24" t="s">
        <v>562</v>
      </c>
      <c r="B5" s="25" t="s">
        <v>563</v>
      </c>
      <c r="C5" s="25" t="s">
        <v>564</v>
      </c>
      <c r="D5" s="25" t="s">
        <v>565</v>
      </c>
      <c r="E5" s="25" t="s">
        <v>566</v>
      </c>
      <c r="F5" s="25" t="s">
        <v>567</v>
      </c>
      <c r="G5" s="25" t="s">
        <v>568</v>
      </c>
      <c r="H5" s="26" t="s">
        <v>69</v>
      </c>
      <c r="I5" s="27"/>
      <c r="J5" s="27"/>
      <c r="K5" s="27"/>
    </row>
    <row r="6" customFormat="false" ht="22.35" hidden="false" customHeight="false" outlineLevel="0" collapsed="false">
      <c r="A6" s="21" t="s">
        <v>569</v>
      </c>
      <c r="B6" s="22" t="s">
        <v>570</v>
      </c>
      <c r="C6" s="22" t="s">
        <v>571</v>
      </c>
      <c r="D6" s="22" t="s">
        <v>572</v>
      </c>
      <c r="E6" s="22" t="s">
        <v>573</v>
      </c>
      <c r="F6" s="22" t="s">
        <v>574</v>
      </c>
      <c r="G6" s="22" t="s">
        <v>575</v>
      </c>
      <c r="H6" s="23" t="s">
        <v>69</v>
      </c>
    </row>
    <row r="7" customFormat="false" ht="15" hidden="false" customHeight="false" outlineLevel="0" collapsed="false">
      <c r="A7" s="24" t="s">
        <v>576</v>
      </c>
      <c r="B7" s="25" t="s">
        <v>577</v>
      </c>
      <c r="C7" s="25" t="s">
        <v>578</v>
      </c>
      <c r="D7" s="25" t="s">
        <v>579</v>
      </c>
      <c r="E7" s="25" t="s">
        <v>580</v>
      </c>
      <c r="F7" s="25" t="s">
        <v>118</v>
      </c>
      <c r="G7" s="25" t="s">
        <v>581</v>
      </c>
      <c r="H7" s="28" t="s">
        <v>105</v>
      </c>
      <c r="I7" s="27"/>
      <c r="J7" s="27"/>
      <c r="K7" s="27"/>
    </row>
    <row r="8" customFormat="false" ht="22.35" hidden="false" customHeight="false" outlineLevel="0" collapsed="false">
      <c r="A8" s="21" t="s">
        <v>582</v>
      </c>
      <c r="B8" s="22" t="s">
        <v>439</v>
      </c>
      <c r="C8" s="22" t="s">
        <v>583</v>
      </c>
      <c r="D8" s="22" t="s">
        <v>584</v>
      </c>
      <c r="E8" s="22" t="s">
        <v>585</v>
      </c>
      <c r="F8" s="22" t="s">
        <v>586</v>
      </c>
      <c r="G8" s="22" t="s">
        <v>587</v>
      </c>
      <c r="H8" s="29" t="s">
        <v>105</v>
      </c>
    </row>
    <row r="9" customFormat="false" ht="22.35" hidden="false" customHeight="false" outlineLevel="0" collapsed="false">
      <c r="A9" s="24" t="s">
        <v>588</v>
      </c>
      <c r="B9" s="25" t="s">
        <v>589</v>
      </c>
      <c r="C9" s="25" t="s">
        <v>590</v>
      </c>
      <c r="D9" s="25" t="s">
        <v>591</v>
      </c>
      <c r="E9" s="25" t="s">
        <v>592</v>
      </c>
      <c r="F9" s="25" t="s">
        <v>593</v>
      </c>
      <c r="G9" s="25" t="s">
        <v>594</v>
      </c>
      <c r="H9" s="28" t="s">
        <v>105</v>
      </c>
      <c r="I9" s="27"/>
      <c r="J9" s="27"/>
      <c r="K9" s="27"/>
    </row>
    <row r="10" customFormat="false" ht="15" hidden="false" customHeight="false" outlineLevel="0" collapsed="false">
      <c r="A10" s="21" t="s">
        <v>595</v>
      </c>
      <c r="B10" s="22" t="s">
        <v>596</v>
      </c>
      <c r="C10" s="22" t="s">
        <v>597</v>
      </c>
      <c r="D10" s="22" t="s">
        <v>572</v>
      </c>
      <c r="E10" s="22" t="s">
        <v>598</v>
      </c>
      <c r="F10" s="22" t="s">
        <v>118</v>
      </c>
      <c r="G10" s="22" t="s">
        <v>599</v>
      </c>
      <c r="H10" s="29" t="s">
        <v>105</v>
      </c>
    </row>
    <row r="11" customFormat="false" ht="15" hidden="false" customHeight="false" outlineLevel="0" collapsed="false">
      <c r="A11" s="24" t="s">
        <v>600</v>
      </c>
      <c r="B11" s="25" t="s">
        <v>601</v>
      </c>
      <c r="C11" s="25" t="s">
        <v>602</v>
      </c>
      <c r="D11" s="25" t="s">
        <v>603</v>
      </c>
      <c r="E11" s="25" t="s">
        <v>604</v>
      </c>
      <c r="F11" s="25" t="s">
        <v>118</v>
      </c>
      <c r="G11" s="25" t="s">
        <v>605</v>
      </c>
      <c r="H11" s="31" t="s">
        <v>138</v>
      </c>
      <c r="I11" s="27"/>
      <c r="J11" s="27"/>
      <c r="K11" s="27"/>
    </row>
  </sheetData>
  <mergeCells count="2">
    <mergeCell ref="A1:K1"/>
    <mergeCell ref="A2:K2"/>
  </mergeCells>
  <conditionalFormatting sqref="I4:I1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"Skipped"</formula>
    </cfRule>
    <cfRule type="cellIs" priority="6" operator="equal" aboveAverage="0" equalAverage="0" bottom="0" percent="0" rank="0" text="" dxfId="4">
      <formula>"Retest"</formula>
    </cfRule>
  </conditionalFormatting>
  <dataValidations count="2">
    <dataValidation allowBlank="true" error="Pick from the list" errorStyle="stop" operator="between" showDropDown="false" showErrorMessage="false" showInputMessage="false" sqref="I4:I11" type="list">
      <formula1>"Pass,Fail,Blocked,Skipped,Retest"</formula1>
      <formula2>0</formula2>
    </dataValidation>
    <dataValidation allowBlank="true" errorStyle="stop" operator="between" showDropDown="false" showErrorMessage="false" showInputMessage="false" sqref="J4:J11" type="list">
      <formula1>"S1-Critical,S2-Major,S3-Minor,S4-Cosmetic"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54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1" min="11" style="0" width="34"/>
  </cols>
  <sheetData>
    <row r="1" customFormat="false" ht="25.5" hidden="false" customHeight="true" outlineLevel="0" collapsed="false">
      <c r="A1" s="19" t="s">
        <v>606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7.75" hidden="false" customHeight="true" outlineLevel="0" collapsed="false">
      <c r="A2" s="20" t="s">
        <v>607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</row>
    <row r="4" customFormat="false" ht="15" hidden="false" customHeight="false" outlineLevel="0" collapsed="false">
      <c r="A4" s="21" t="s">
        <v>608</v>
      </c>
      <c r="B4" s="22" t="s">
        <v>609</v>
      </c>
      <c r="C4" s="22" t="s">
        <v>610</v>
      </c>
      <c r="D4" s="22" t="s">
        <v>611</v>
      </c>
      <c r="E4" s="22" t="s">
        <v>612</v>
      </c>
      <c r="F4" s="22" t="s">
        <v>613</v>
      </c>
      <c r="G4" s="22" t="s">
        <v>614</v>
      </c>
      <c r="H4" s="23" t="s">
        <v>69</v>
      </c>
    </row>
    <row r="5" customFormat="false" ht="22.35" hidden="false" customHeight="false" outlineLevel="0" collapsed="false">
      <c r="A5" s="24" t="s">
        <v>615</v>
      </c>
      <c r="B5" s="25" t="s">
        <v>616</v>
      </c>
      <c r="C5" s="25" t="s">
        <v>617</v>
      </c>
      <c r="D5" s="25" t="s">
        <v>618</v>
      </c>
      <c r="E5" s="25" t="s">
        <v>619</v>
      </c>
      <c r="F5" s="25" t="s">
        <v>620</v>
      </c>
      <c r="G5" s="25" t="s">
        <v>621</v>
      </c>
      <c r="H5" s="26" t="s">
        <v>69</v>
      </c>
      <c r="I5" s="27"/>
      <c r="J5" s="27"/>
      <c r="K5" s="27"/>
    </row>
    <row r="6" customFormat="false" ht="22.35" hidden="false" customHeight="false" outlineLevel="0" collapsed="false">
      <c r="A6" s="21" t="s">
        <v>622</v>
      </c>
      <c r="B6" s="22" t="s">
        <v>623</v>
      </c>
      <c r="C6" s="22" t="s">
        <v>624</v>
      </c>
      <c r="D6" s="22" t="s">
        <v>618</v>
      </c>
      <c r="E6" s="22" t="s">
        <v>625</v>
      </c>
      <c r="F6" s="22" t="s">
        <v>626</v>
      </c>
      <c r="G6" s="22" t="s">
        <v>627</v>
      </c>
      <c r="H6" s="23" t="s">
        <v>69</v>
      </c>
    </row>
    <row r="7" customFormat="false" ht="22.35" hidden="false" customHeight="false" outlineLevel="0" collapsed="false">
      <c r="A7" s="24" t="s">
        <v>628</v>
      </c>
      <c r="B7" s="25" t="s">
        <v>629</v>
      </c>
      <c r="C7" s="25" t="s">
        <v>630</v>
      </c>
      <c r="D7" s="25" t="s">
        <v>631</v>
      </c>
      <c r="E7" s="25" t="s">
        <v>632</v>
      </c>
      <c r="F7" s="25" t="s">
        <v>633</v>
      </c>
      <c r="G7" s="25" t="s">
        <v>634</v>
      </c>
      <c r="H7" s="28" t="s">
        <v>105</v>
      </c>
      <c r="I7" s="27"/>
      <c r="J7" s="27"/>
      <c r="K7" s="27"/>
    </row>
    <row r="8" customFormat="false" ht="15" hidden="false" customHeight="false" outlineLevel="0" collapsed="false">
      <c r="A8" s="21" t="s">
        <v>635</v>
      </c>
      <c r="B8" s="22" t="s">
        <v>636</v>
      </c>
      <c r="C8" s="22" t="s">
        <v>637</v>
      </c>
      <c r="D8" s="22" t="s">
        <v>638</v>
      </c>
      <c r="E8" s="22" t="s">
        <v>639</v>
      </c>
      <c r="F8" s="22" t="s">
        <v>640</v>
      </c>
      <c r="G8" s="22" t="s">
        <v>641</v>
      </c>
      <c r="H8" s="29" t="s">
        <v>105</v>
      </c>
    </row>
    <row r="9" customFormat="false" ht="22.35" hidden="false" customHeight="false" outlineLevel="0" collapsed="false">
      <c r="A9" s="24" t="s">
        <v>642</v>
      </c>
      <c r="B9" s="25" t="s">
        <v>643</v>
      </c>
      <c r="C9" s="25" t="s">
        <v>644</v>
      </c>
      <c r="D9" s="25" t="s">
        <v>645</v>
      </c>
      <c r="E9" s="25" t="s">
        <v>646</v>
      </c>
      <c r="F9" s="25" t="s">
        <v>647</v>
      </c>
      <c r="G9" s="25" t="s">
        <v>648</v>
      </c>
      <c r="H9" s="28" t="s">
        <v>105</v>
      </c>
      <c r="I9" s="27"/>
      <c r="J9" s="27"/>
      <c r="K9" s="27"/>
    </row>
    <row r="10" customFormat="false" ht="15" hidden="false" customHeight="false" outlineLevel="0" collapsed="false">
      <c r="A10" s="21" t="s">
        <v>649</v>
      </c>
      <c r="B10" s="22" t="s">
        <v>650</v>
      </c>
      <c r="C10" s="22" t="s">
        <v>651</v>
      </c>
      <c r="D10" s="22" t="s">
        <v>652</v>
      </c>
      <c r="E10" s="22" t="s">
        <v>653</v>
      </c>
      <c r="F10" s="22" t="s">
        <v>118</v>
      </c>
      <c r="G10" s="22" t="s">
        <v>654</v>
      </c>
      <c r="H10" s="29" t="s">
        <v>105</v>
      </c>
    </row>
    <row r="11" customFormat="false" ht="15" hidden="false" customHeight="false" outlineLevel="0" collapsed="false">
      <c r="A11" s="24" t="s">
        <v>655</v>
      </c>
      <c r="B11" s="25" t="s">
        <v>656</v>
      </c>
      <c r="C11" s="25" t="s">
        <v>657</v>
      </c>
      <c r="D11" s="25" t="s">
        <v>658</v>
      </c>
      <c r="E11" s="25" t="s">
        <v>659</v>
      </c>
      <c r="F11" s="25" t="s">
        <v>660</v>
      </c>
      <c r="G11" s="25" t="s">
        <v>661</v>
      </c>
      <c r="H11" s="31" t="s">
        <v>138</v>
      </c>
      <c r="I11" s="27"/>
      <c r="J11" s="27"/>
      <c r="K11" s="27"/>
    </row>
    <row r="12" customFormat="false" ht="15" hidden="false" customHeight="false" outlineLevel="0" collapsed="false">
      <c r="A12" s="21" t="s">
        <v>662</v>
      </c>
      <c r="B12" s="22" t="s">
        <v>663</v>
      </c>
      <c r="C12" s="22" t="s">
        <v>664</v>
      </c>
      <c r="D12" s="22" t="s">
        <v>665</v>
      </c>
      <c r="E12" s="22" t="s">
        <v>666</v>
      </c>
      <c r="F12" s="22" t="s">
        <v>118</v>
      </c>
      <c r="G12" s="22" t="s">
        <v>667</v>
      </c>
      <c r="H12" s="29" t="s">
        <v>105</v>
      </c>
    </row>
    <row r="13" customFormat="false" ht="22.35" hidden="false" customHeight="false" outlineLevel="0" collapsed="false">
      <c r="A13" s="24" t="s">
        <v>668</v>
      </c>
      <c r="B13" s="25" t="s">
        <v>669</v>
      </c>
      <c r="C13" s="25" t="s">
        <v>670</v>
      </c>
      <c r="D13" s="25" t="s">
        <v>671</v>
      </c>
      <c r="E13" s="25" t="s">
        <v>672</v>
      </c>
      <c r="F13" s="25" t="s">
        <v>673</v>
      </c>
      <c r="G13" s="25" t="s">
        <v>674</v>
      </c>
      <c r="H13" s="26" t="s">
        <v>69</v>
      </c>
      <c r="I13" s="27"/>
      <c r="J13" s="27"/>
      <c r="K13" s="27"/>
    </row>
    <row r="14" customFormat="false" ht="22.35" hidden="false" customHeight="false" outlineLevel="0" collapsed="false">
      <c r="A14" s="21" t="s">
        <v>675</v>
      </c>
      <c r="B14" s="22" t="s">
        <v>676</v>
      </c>
      <c r="C14" s="22" t="s">
        <v>677</v>
      </c>
      <c r="D14" s="22" t="s">
        <v>678</v>
      </c>
      <c r="E14" s="22" t="s">
        <v>679</v>
      </c>
      <c r="F14" s="22" t="s">
        <v>680</v>
      </c>
      <c r="G14" s="22" t="s">
        <v>681</v>
      </c>
      <c r="H14" s="29" t="s">
        <v>105</v>
      </c>
    </row>
    <row r="15" customFormat="false" ht="15" hidden="false" customHeight="false" outlineLevel="0" collapsed="false">
      <c r="A15" s="24" t="s">
        <v>682</v>
      </c>
      <c r="B15" s="25" t="s">
        <v>683</v>
      </c>
      <c r="C15" s="25" t="s">
        <v>684</v>
      </c>
      <c r="D15" s="25" t="s">
        <v>685</v>
      </c>
      <c r="E15" s="25" t="s">
        <v>686</v>
      </c>
      <c r="F15" s="25" t="s">
        <v>687</v>
      </c>
      <c r="G15" s="25" t="s">
        <v>688</v>
      </c>
      <c r="H15" s="31" t="s">
        <v>138</v>
      </c>
      <c r="I15" s="27"/>
      <c r="J15" s="27"/>
      <c r="K15" s="27"/>
    </row>
    <row r="16" customFormat="false" ht="15" hidden="false" customHeight="false" outlineLevel="0" collapsed="false">
      <c r="A16" s="21" t="s">
        <v>689</v>
      </c>
      <c r="B16" s="22" t="s">
        <v>690</v>
      </c>
      <c r="C16" s="22" t="s">
        <v>691</v>
      </c>
      <c r="D16" s="22" t="s">
        <v>692</v>
      </c>
      <c r="E16" s="22" t="s">
        <v>693</v>
      </c>
      <c r="F16" s="22" t="s">
        <v>118</v>
      </c>
      <c r="G16" s="22" t="s">
        <v>694</v>
      </c>
      <c r="H16" s="30" t="s">
        <v>138</v>
      </c>
    </row>
    <row r="17" customFormat="false" ht="22.35" hidden="false" customHeight="false" outlineLevel="0" collapsed="false">
      <c r="A17" s="24" t="s">
        <v>695</v>
      </c>
      <c r="B17" s="25" t="s">
        <v>696</v>
      </c>
      <c r="C17" s="25" t="s">
        <v>697</v>
      </c>
      <c r="D17" s="25" t="s">
        <v>698</v>
      </c>
      <c r="E17" s="25" t="s">
        <v>699</v>
      </c>
      <c r="F17" s="25" t="s">
        <v>118</v>
      </c>
      <c r="G17" s="25" t="s">
        <v>700</v>
      </c>
      <c r="H17" s="28" t="s">
        <v>105</v>
      </c>
      <c r="I17" s="27"/>
      <c r="J17" s="27"/>
      <c r="K17" s="27"/>
    </row>
  </sheetData>
  <mergeCells count="2">
    <mergeCell ref="A1:K1"/>
    <mergeCell ref="A2:K2"/>
  </mergeCells>
  <conditionalFormatting sqref="I4:I1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"Skipped"</formula>
    </cfRule>
    <cfRule type="cellIs" priority="6" operator="equal" aboveAverage="0" equalAverage="0" bottom="0" percent="0" rank="0" text="" dxfId="4">
      <formula>"Retest"</formula>
    </cfRule>
  </conditionalFormatting>
  <dataValidations count="2">
    <dataValidation allowBlank="true" error="Pick from the list" errorStyle="stop" operator="between" showDropDown="false" showErrorMessage="false" showInputMessage="false" sqref="I4:I17" type="list">
      <formula1>"Pass,Fail,Blocked,Skipped,Retest"</formula1>
      <formula2>0</formula2>
    </dataValidation>
    <dataValidation allowBlank="true" errorStyle="stop" operator="between" showDropDown="false" showErrorMessage="false" showInputMessage="false" sqref="J4:J17" type="list">
      <formula1>"S1-Critical,S2-Major,S3-Minor,S4-Cosmetic"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54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1" min="11" style="0" width="34"/>
  </cols>
  <sheetData>
    <row r="1" customFormat="false" ht="25.5" hidden="false" customHeight="true" outlineLevel="0" collapsed="false">
      <c r="A1" s="19" t="s">
        <v>701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7.75" hidden="false" customHeight="true" outlineLevel="0" collapsed="false">
      <c r="A2" s="20" t="s">
        <v>702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</row>
    <row r="4" customFormat="false" ht="22.35" hidden="false" customHeight="false" outlineLevel="0" collapsed="false">
      <c r="A4" s="21" t="s">
        <v>703</v>
      </c>
      <c r="B4" s="22" t="s">
        <v>704</v>
      </c>
      <c r="C4" s="22" t="s">
        <v>705</v>
      </c>
      <c r="D4" s="22" t="s">
        <v>706</v>
      </c>
      <c r="E4" s="22" t="s">
        <v>707</v>
      </c>
      <c r="F4" s="22" t="s">
        <v>708</v>
      </c>
      <c r="G4" s="22" t="s">
        <v>709</v>
      </c>
      <c r="H4" s="23" t="s">
        <v>69</v>
      </c>
    </row>
    <row r="5" customFormat="false" ht="22.35" hidden="false" customHeight="false" outlineLevel="0" collapsed="false">
      <c r="A5" s="24" t="s">
        <v>710</v>
      </c>
      <c r="B5" s="25" t="s">
        <v>711</v>
      </c>
      <c r="C5" s="25" t="s">
        <v>712</v>
      </c>
      <c r="D5" s="25" t="s">
        <v>713</v>
      </c>
      <c r="E5" s="25" t="s">
        <v>714</v>
      </c>
      <c r="F5" s="25" t="s">
        <v>715</v>
      </c>
      <c r="G5" s="25" t="s">
        <v>716</v>
      </c>
      <c r="H5" s="26" t="s">
        <v>69</v>
      </c>
      <c r="I5" s="27"/>
      <c r="J5" s="27"/>
      <c r="K5" s="27"/>
    </row>
    <row r="6" customFormat="false" ht="22.35" hidden="false" customHeight="false" outlineLevel="0" collapsed="false">
      <c r="A6" s="21" t="s">
        <v>717</v>
      </c>
      <c r="B6" s="22" t="s">
        <v>718</v>
      </c>
      <c r="C6" s="22" t="s">
        <v>719</v>
      </c>
      <c r="D6" s="22" t="s">
        <v>720</v>
      </c>
      <c r="E6" s="22" t="s">
        <v>721</v>
      </c>
      <c r="F6" s="22" t="s">
        <v>722</v>
      </c>
      <c r="G6" s="22" t="s">
        <v>723</v>
      </c>
      <c r="H6" s="23" t="s">
        <v>69</v>
      </c>
    </row>
    <row r="7" customFormat="false" ht="22.35" hidden="false" customHeight="false" outlineLevel="0" collapsed="false">
      <c r="A7" s="24" t="s">
        <v>724</v>
      </c>
      <c r="B7" s="25" t="s">
        <v>450</v>
      </c>
      <c r="C7" s="25" t="s">
        <v>725</v>
      </c>
      <c r="D7" s="25" t="s">
        <v>726</v>
      </c>
      <c r="E7" s="25" t="s">
        <v>727</v>
      </c>
      <c r="F7" s="25" t="s">
        <v>728</v>
      </c>
      <c r="G7" s="25" t="s">
        <v>729</v>
      </c>
      <c r="H7" s="26" t="s">
        <v>69</v>
      </c>
      <c r="I7" s="27"/>
      <c r="J7" s="27"/>
      <c r="K7" s="27"/>
    </row>
    <row r="8" customFormat="false" ht="15" hidden="false" customHeight="false" outlineLevel="0" collapsed="false">
      <c r="A8" s="21" t="s">
        <v>730</v>
      </c>
      <c r="B8" s="22" t="s">
        <v>488</v>
      </c>
      <c r="C8" s="22" t="s">
        <v>731</v>
      </c>
      <c r="D8" s="22" t="s">
        <v>732</v>
      </c>
      <c r="E8" s="22" t="s">
        <v>733</v>
      </c>
      <c r="F8" s="22" t="s">
        <v>734</v>
      </c>
      <c r="G8" s="22" t="s">
        <v>735</v>
      </c>
      <c r="H8" s="23" t="s">
        <v>69</v>
      </c>
    </row>
    <row r="9" customFormat="false" ht="22.35" hidden="false" customHeight="false" outlineLevel="0" collapsed="false">
      <c r="A9" s="24" t="s">
        <v>736</v>
      </c>
      <c r="B9" s="25" t="s">
        <v>669</v>
      </c>
      <c r="C9" s="25" t="s">
        <v>737</v>
      </c>
      <c r="D9" s="25" t="s">
        <v>738</v>
      </c>
      <c r="E9" s="25" t="s">
        <v>739</v>
      </c>
      <c r="F9" s="25" t="s">
        <v>118</v>
      </c>
      <c r="G9" s="25" t="s">
        <v>740</v>
      </c>
      <c r="H9" s="26" t="s">
        <v>69</v>
      </c>
      <c r="I9" s="27"/>
      <c r="J9" s="27"/>
      <c r="K9" s="27"/>
    </row>
    <row r="10" customFormat="false" ht="15" hidden="false" customHeight="false" outlineLevel="0" collapsed="false">
      <c r="A10" s="21" t="s">
        <v>741</v>
      </c>
      <c r="B10" s="22" t="s">
        <v>742</v>
      </c>
      <c r="C10" s="22" t="s">
        <v>743</v>
      </c>
      <c r="D10" s="22" t="s">
        <v>744</v>
      </c>
      <c r="E10" s="22" t="s">
        <v>745</v>
      </c>
      <c r="F10" s="22" t="s">
        <v>746</v>
      </c>
      <c r="G10" s="22" t="s">
        <v>747</v>
      </c>
      <c r="H10" s="29" t="s">
        <v>105</v>
      </c>
    </row>
    <row r="11" customFormat="false" ht="15" hidden="false" customHeight="false" outlineLevel="0" collapsed="false">
      <c r="A11" s="24" t="s">
        <v>748</v>
      </c>
      <c r="B11" s="25" t="s">
        <v>749</v>
      </c>
      <c r="C11" s="25" t="s">
        <v>750</v>
      </c>
      <c r="D11" s="25" t="s">
        <v>732</v>
      </c>
      <c r="E11" s="25" t="s">
        <v>751</v>
      </c>
      <c r="F11" s="25" t="s">
        <v>752</v>
      </c>
      <c r="G11" s="25" t="s">
        <v>753</v>
      </c>
      <c r="H11" s="28" t="s">
        <v>105</v>
      </c>
      <c r="I11" s="27"/>
      <c r="J11" s="27"/>
      <c r="K11" s="27"/>
    </row>
    <row r="12" customFormat="false" ht="15" hidden="false" customHeight="false" outlineLevel="0" collapsed="false">
      <c r="A12" s="21" t="s">
        <v>754</v>
      </c>
      <c r="B12" s="22" t="s">
        <v>755</v>
      </c>
      <c r="C12" s="22" t="s">
        <v>756</v>
      </c>
      <c r="D12" s="22" t="s">
        <v>757</v>
      </c>
      <c r="E12" s="22" t="s">
        <v>758</v>
      </c>
      <c r="F12" s="22" t="s">
        <v>118</v>
      </c>
      <c r="G12" s="22" t="s">
        <v>759</v>
      </c>
      <c r="H12" s="29" t="s">
        <v>105</v>
      </c>
    </row>
    <row r="13" customFormat="false" ht="22.35" hidden="false" customHeight="false" outlineLevel="0" collapsed="false">
      <c r="A13" s="24" t="s">
        <v>760</v>
      </c>
      <c r="B13" s="25" t="s">
        <v>761</v>
      </c>
      <c r="C13" s="25" t="s">
        <v>762</v>
      </c>
      <c r="D13" s="25" t="s">
        <v>763</v>
      </c>
      <c r="E13" s="25" t="s">
        <v>764</v>
      </c>
      <c r="F13" s="25" t="s">
        <v>765</v>
      </c>
      <c r="G13" s="25" t="s">
        <v>766</v>
      </c>
      <c r="H13" s="26" t="s">
        <v>69</v>
      </c>
      <c r="I13" s="27"/>
      <c r="J13" s="27"/>
      <c r="K13" s="27"/>
    </row>
  </sheetData>
  <mergeCells count="2">
    <mergeCell ref="A1:K1"/>
    <mergeCell ref="A2:K2"/>
  </mergeCells>
  <conditionalFormatting sqref="I4:I13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"Skipped"</formula>
    </cfRule>
    <cfRule type="cellIs" priority="6" operator="equal" aboveAverage="0" equalAverage="0" bottom="0" percent="0" rank="0" text="" dxfId="4">
      <formula>"Retest"</formula>
    </cfRule>
  </conditionalFormatting>
  <dataValidations count="2">
    <dataValidation allowBlank="true" error="Pick from the list" errorStyle="stop" operator="between" showDropDown="false" showErrorMessage="false" showInputMessage="false" sqref="I4:I13" type="list">
      <formula1>"Pass,Fail,Blocked,Skipped,Retest"</formula1>
      <formula2>0</formula2>
    </dataValidation>
    <dataValidation allowBlank="true" errorStyle="stop" operator="between" showDropDown="false" showErrorMessage="false" showInputMessage="false" sqref="J4:J13" type="list">
      <formula1>"S1-Critical,S2-Major,S3-Minor,S4-Cosmetic"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54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1" min="11" style="0" width="34"/>
  </cols>
  <sheetData>
    <row r="1" customFormat="false" ht="25.5" hidden="false" customHeight="true" outlineLevel="0" collapsed="false">
      <c r="A1" s="19" t="s">
        <v>767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7.75" hidden="false" customHeight="true" outlineLevel="0" collapsed="false">
      <c r="A2" s="20" t="s">
        <v>768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</row>
    <row r="4" customFormat="false" ht="43.25" hidden="false" customHeight="false" outlineLevel="0" collapsed="false">
      <c r="A4" s="21" t="s">
        <v>769</v>
      </c>
      <c r="B4" s="22" t="s">
        <v>770</v>
      </c>
      <c r="C4" s="22" t="s">
        <v>771</v>
      </c>
      <c r="D4" s="22" t="s">
        <v>706</v>
      </c>
      <c r="E4" s="22" t="s">
        <v>772</v>
      </c>
      <c r="F4" s="22" t="s">
        <v>773</v>
      </c>
      <c r="G4" s="22" t="s">
        <v>774</v>
      </c>
      <c r="H4" s="23" t="s">
        <v>69</v>
      </c>
    </row>
    <row r="5" customFormat="false" ht="22.35" hidden="false" customHeight="false" outlineLevel="0" collapsed="false">
      <c r="A5" s="24" t="s">
        <v>775</v>
      </c>
      <c r="B5" s="25" t="s">
        <v>770</v>
      </c>
      <c r="C5" s="25" t="s">
        <v>776</v>
      </c>
      <c r="D5" s="25" t="s">
        <v>777</v>
      </c>
      <c r="E5" s="25" t="s">
        <v>778</v>
      </c>
      <c r="F5" s="25" t="s">
        <v>118</v>
      </c>
      <c r="G5" s="25" t="s">
        <v>779</v>
      </c>
      <c r="H5" s="28" t="s">
        <v>105</v>
      </c>
      <c r="I5" s="27"/>
      <c r="J5" s="27"/>
      <c r="K5" s="27"/>
    </row>
    <row r="6" customFormat="false" ht="32.8" hidden="false" customHeight="false" outlineLevel="0" collapsed="false">
      <c r="A6" s="21" t="s">
        <v>780</v>
      </c>
      <c r="B6" s="22" t="s">
        <v>781</v>
      </c>
      <c r="C6" s="22" t="s">
        <v>782</v>
      </c>
      <c r="D6" s="22" t="s">
        <v>783</v>
      </c>
      <c r="E6" s="22" t="s">
        <v>784</v>
      </c>
      <c r="F6" s="22" t="s">
        <v>785</v>
      </c>
      <c r="G6" s="22" t="s">
        <v>786</v>
      </c>
      <c r="H6" s="23" t="s">
        <v>69</v>
      </c>
    </row>
    <row r="7" customFormat="false" ht="15" hidden="false" customHeight="false" outlineLevel="0" collapsed="false">
      <c r="A7" s="24" t="s">
        <v>787</v>
      </c>
      <c r="B7" s="25" t="s">
        <v>788</v>
      </c>
      <c r="C7" s="25" t="s">
        <v>789</v>
      </c>
      <c r="D7" s="25" t="s">
        <v>790</v>
      </c>
      <c r="E7" s="25" t="s">
        <v>791</v>
      </c>
      <c r="F7" s="25" t="s">
        <v>118</v>
      </c>
      <c r="G7" s="25" t="s">
        <v>792</v>
      </c>
      <c r="H7" s="26" t="s">
        <v>69</v>
      </c>
      <c r="I7" s="27"/>
      <c r="J7" s="27"/>
      <c r="K7" s="27"/>
    </row>
    <row r="8" customFormat="false" ht="22.35" hidden="false" customHeight="false" outlineLevel="0" collapsed="false">
      <c r="A8" s="21" t="s">
        <v>793</v>
      </c>
      <c r="B8" s="22" t="s">
        <v>794</v>
      </c>
      <c r="C8" s="22" t="s">
        <v>795</v>
      </c>
      <c r="D8" s="22" t="s">
        <v>796</v>
      </c>
      <c r="E8" s="22" t="s">
        <v>797</v>
      </c>
      <c r="F8" s="22" t="s">
        <v>118</v>
      </c>
      <c r="G8" s="22" t="s">
        <v>798</v>
      </c>
      <c r="H8" s="29" t="s">
        <v>105</v>
      </c>
    </row>
    <row r="9" customFormat="false" ht="22.35" hidden="false" customHeight="false" outlineLevel="0" collapsed="false">
      <c r="A9" s="24" t="s">
        <v>799</v>
      </c>
      <c r="B9" s="25" t="s">
        <v>800</v>
      </c>
      <c r="C9" s="25" t="s">
        <v>801</v>
      </c>
      <c r="D9" s="25" t="s">
        <v>802</v>
      </c>
      <c r="E9" s="25" t="s">
        <v>803</v>
      </c>
      <c r="F9" s="25" t="s">
        <v>118</v>
      </c>
      <c r="G9" s="25" t="s">
        <v>804</v>
      </c>
      <c r="H9" s="31" t="s">
        <v>138</v>
      </c>
      <c r="I9" s="27"/>
      <c r="J9" s="27"/>
      <c r="K9" s="27"/>
    </row>
  </sheetData>
  <mergeCells count="2">
    <mergeCell ref="A1:K1"/>
    <mergeCell ref="A2:K2"/>
  </mergeCells>
  <conditionalFormatting sqref="I4:I9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"Skipped"</formula>
    </cfRule>
    <cfRule type="cellIs" priority="6" operator="equal" aboveAverage="0" equalAverage="0" bottom="0" percent="0" rank="0" text="" dxfId="4">
      <formula>"Retest"</formula>
    </cfRule>
  </conditionalFormatting>
  <dataValidations count="2">
    <dataValidation allowBlank="true" error="Pick from the list" errorStyle="stop" operator="between" showDropDown="false" showErrorMessage="false" showInputMessage="false" sqref="I4:I9" type="list">
      <formula1>"Pass,Fail,Blocked,Skipped,Retest"</formula1>
      <formula2>0</formula2>
    </dataValidation>
    <dataValidation allowBlank="true" errorStyle="stop" operator="between" showDropDown="false" showErrorMessage="false" showInputMessage="false" sqref="J4:J9" type="list">
      <formula1>"S1-Critical,S2-Major,S3-Minor,S4-Cosmetic"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54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1" min="11" style="0" width="34"/>
  </cols>
  <sheetData>
    <row r="1" customFormat="false" ht="25.5" hidden="false" customHeight="true" outlineLevel="0" collapsed="false">
      <c r="A1" s="19" t="s">
        <v>805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7.75" hidden="false" customHeight="true" outlineLevel="0" collapsed="false">
      <c r="A2" s="20" t="s">
        <v>806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</row>
    <row r="4" customFormat="false" ht="15" hidden="false" customHeight="false" outlineLevel="0" collapsed="false">
      <c r="A4" s="21" t="s">
        <v>807</v>
      </c>
      <c r="B4" s="22" t="s">
        <v>704</v>
      </c>
      <c r="C4" s="22" t="s">
        <v>808</v>
      </c>
      <c r="D4" s="22" t="s">
        <v>706</v>
      </c>
      <c r="E4" s="22" t="s">
        <v>809</v>
      </c>
      <c r="F4" s="22" t="s">
        <v>118</v>
      </c>
      <c r="G4" s="22" t="s">
        <v>810</v>
      </c>
      <c r="H4" s="23" t="s">
        <v>69</v>
      </c>
    </row>
    <row r="5" customFormat="false" ht="15" hidden="false" customHeight="false" outlineLevel="0" collapsed="false">
      <c r="A5" s="24" t="s">
        <v>811</v>
      </c>
      <c r="B5" s="25" t="s">
        <v>488</v>
      </c>
      <c r="C5" s="25" t="s">
        <v>812</v>
      </c>
      <c r="D5" s="25" t="s">
        <v>813</v>
      </c>
      <c r="E5" s="25" t="s">
        <v>814</v>
      </c>
      <c r="F5" s="25" t="s">
        <v>815</v>
      </c>
      <c r="G5" s="25" t="s">
        <v>816</v>
      </c>
      <c r="H5" s="26" t="s">
        <v>69</v>
      </c>
      <c r="I5" s="27"/>
      <c r="J5" s="27"/>
      <c r="K5" s="27"/>
    </row>
    <row r="6" customFormat="false" ht="15" hidden="false" customHeight="false" outlineLevel="0" collapsed="false">
      <c r="A6" s="21" t="s">
        <v>817</v>
      </c>
      <c r="B6" s="22" t="s">
        <v>818</v>
      </c>
      <c r="C6" s="22" t="s">
        <v>819</v>
      </c>
      <c r="D6" s="22" t="s">
        <v>813</v>
      </c>
      <c r="E6" s="22" t="s">
        <v>820</v>
      </c>
      <c r="F6" s="22" t="s">
        <v>821</v>
      </c>
      <c r="G6" s="22" t="s">
        <v>822</v>
      </c>
      <c r="H6" s="29" t="s">
        <v>105</v>
      </c>
    </row>
    <row r="7" customFormat="false" ht="15" hidden="false" customHeight="false" outlineLevel="0" collapsed="false">
      <c r="A7" s="24" t="s">
        <v>823</v>
      </c>
      <c r="B7" s="25" t="s">
        <v>824</v>
      </c>
      <c r="C7" s="25" t="s">
        <v>825</v>
      </c>
      <c r="D7" s="25" t="s">
        <v>826</v>
      </c>
      <c r="E7" s="25" t="s">
        <v>827</v>
      </c>
      <c r="F7" s="25" t="s">
        <v>828</v>
      </c>
      <c r="G7" s="25" t="s">
        <v>829</v>
      </c>
      <c r="H7" s="28" t="s">
        <v>105</v>
      </c>
      <c r="I7" s="27"/>
      <c r="J7" s="27"/>
      <c r="K7" s="27"/>
    </row>
    <row r="8" customFormat="false" ht="22.35" hidden="false" customHeight="false" outlineLevel="0" collapsed="false">
      <c r="A8" s="21" t="s">
        <v>830</v>
      </c>
      <c r="B8" s="22" t="s">
        <v>831</v>
      </c>
      <c r="C8" s="22" t="s">
        <v>832</v>
      </c>
      <c r="D8" s="22" t="s">
        <v>813</v>
      </c>
      <c r="E8" s="22" t="s">
        <v>833</v>
      </c>
      <c r="F8" s="22" t="s">
        <v>834</v>
      </c>
      <c r="G8" s="22" t="s">
        <v>835</v>
      </c>
      <c r="H8" s="29" t="s">
        <v>105</v>
      </c>
    </row>
  </sheetData>
  <mergeCells count="2">
    <mergeCell ref="A1:K1"/>
    <mergeCell ref="A2:K2"/>
  </mergeCells>
  <conditionalFormatting sqref="I4:I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"Skipped"</formula>
    </cfRule>
    <cfRule type="cellIs" priority="6" operator="equal" aboveAverage="0" equalAverage="0" bottom="0" percent="0" rank="0" text="" dxfId="4">
      <formula>"Retest"</formula>
    </cfRule>
  </conditionalFormatting>
  <dataValidations count="2">
    <dataValidation allowBlank="true" error="Pick from the list" errorStyle="stop" operator="between" showDropDown="false" showErrorMessage="false" showInputMessage="false" sqref="I4:I8" type="list">
      <formula1>"Pass,Fail,Blocked,Skipped,Retest"</formula1>
      <formula2>0</formula2>
    </dataValidation>
    <dataValidation allowBlank="true" errorStyle="stop" operator="between" showDropDown="false" showErrorMessage="false" showInputMessage="false" sqref="J4:J8" type="list">
      <formula1>"S1-Critical,S2-Major,S3-Minor,S4-Cosmetic"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54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1" min="11" style="0" width="34"/>
  </cols>
  <sheetData>
    <row r="1" customFormat="false" ht="25.5" hidden="false" customHeight="true" outlineLevel="0" collapsed="false">
      <c r="A1" s="19" t="s">
        <v>836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7.75" hidden="false" customHeight="true" outlineLevel="0" collapsed="false">
      <c r="A2" s="20" t="s">
        <v>837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</row>
    <row r="4" customFormat="false" ht="22.35" hidden="false" customHeight="false" outlineLevel="0" collapsed="false">
      <c r="A4" s="21" t="s">
        <v>838</v>
      </c>
      <c r="B4" s="22" t="s">
        <v>839</v>
      </c>
      <c r="C4" s="22" t="s">
        <v>840</v>
      </c>
      <c r="D4" s="22" t="s">
        <v>841</v>
      </c>
      <c r="E4" s="22" t="s">
        <v>842</v>
      </c>
      <c r="F4" s="22" t="s">
        <v>118</v>
      </c>
      <c r="G4" s="22" t="s">
        <v>843</v>
      </c>
      <c r="H4" s="23" t="s">
        <v>69</v>
      </c>
    </row>
    <row r="5" customFormat="false" ht="22.35" hidden="false" customHeight="false" outlineLevel="0" collapsed="false">
      <c r="A5" s="24" t="s">
        <v>844</v>
      </c>
      <c r="B5" s="25" t="s">
        <v>845</v>
      </c>
      <c r="C5" s="25" t="s">
        <v>846</v>
      </c>
      <c r="D5" s="25" t="s">
        <v>847</v>
      </c>
      <c r="E5" s="25" t="s">
        <v>848</v>
      </c>
      <c r="F5" s="25" t="s">
        <v>118</v>
      </c>
      <c r="G5" s="25" t="s">
        <v>849</v>
      </c>
      <c r="H5" s="26" t="s">
        <v>69</v>
      </c>
      <c r="I5" s="27"/>
      <c r="J5" s="27"/>
      <c r="K5" s="27"/>
    </row>
    <row r="6" customFormat="false" ht="22.35" hidden="false" customHeight="false" outlineLevel="0" collapsed="false">
      <c r="A6" s="21" t="s">
        <v>850</v>
      </c>
      <c r="B6" s="22" t="s">
        <v>851</v>
      </c>
      <c r="C6" s="22" t="s">
        <v>852</v>
      </c>
      <c r="D6" s="22" t="s">
        <v>853</v>
      </c>
      <c r="E6" s="22" t="s">
        <v>854</v>
      </c>
      <c r="F6" s="22" t="s">
        <v>855</v>
      </c>
      <c r="G6" s="22" t="s">
        <v>856</v>
      </c>
      <c r="H6" s="23" t="s">
        <v>69</v>
      </c>
    </row>
    <row r="7" customFormat="false" ht="32.8" hidden="false" customHeight="false" outlineLevel="0" collapsed="false">
      <c r="A7" s="24" t="s">
        <v>857</v>
      </c>
      <c r="B7" s="25" t="s">
        <v>488</v>
      </c>
      <c r="C7" s="25" t="s">
        <v>858</v>
      </c>
      <c r="D7" s="25" t="s">
        <v>859</v>
      </c>
      <c r="E7" s="25" t="s">
        <v>860</v>
      </c>
      <c r="F7" s="25" t="s">
        <v>861</v>
      </c>
      <c r="G7" s="25" t="s">
        <v>862</v>
      </c>
      <c r="H7" s="26" t="s">
        <v>69</v>
      </c>
      <c r="I7" s="27"/>
      <c r="J7" s="27"/>
      <c r="K7" s="27"/>
    </row>
    <row r="8" customFormat="false" ht="15" hidden="false" customHeight="false" outlineLevel="0" collapsed="false">
      <c r="A8" s="21" t="s">
        <v>863</v>
      </c>
      <c r="B8" s="22" t="s">
        <v>407</v>
      </c>
      <c r="C8" s="22" t="s">
        <v>864</v>
      </c>
      <c r="D8" s="22" t="s">
        <v>865</v>
      </c>
      <c r="E8" s="22" t="s">
        <v>866</v>
      </c>
      <c r="F8" s="22" t="s">
        <v>867</v>
      </c>
      <c r="G8" s="22" t="s">
        <v>868</v>
      </c>
      <c r="H8" s="29" t="s">
        <v>105</v>
      </c>
    </row>
    <row r="9" customFormat="false" ht="15" hidden="false" customHeight="false" outlineLevel="0" collapsed="false">
      <c r="A9" s="24" t="s">
        <v>869</v>
      </c>
      <c r="B9" s="25" t="s">
        <v>742</v>
      </c>
      <c r="C9" s="25" t="s">
        <v>870</v>
      </c>
      <c r="D9" s="25" t="s">
        <v>871</v>
      </c>
      <c r="E9" s="25" t="s">
        <v>872</v>
      </c>
      <c r="F9" s="25" t="s">
        <v>873</v>
      </c>
      <c r="G9" s="25" t="s">
        <v>874</v>
      </c>
      <c r="H9" s="28" t="s">
        <v>105</v>
      </c>
      <c r="I9" s="27"/>
      <c r="J9" s="27"/>
      <c r="K9" s="27"/>
    </row>
    <row r="10" customFormat="false" ht="22.35" hidden="false" customHeight="false" outlineLevel="0" collapsed="false">
      <c r="A10" s="21" t="s">
        <v>875</v>
      </c>
      <c r="B10" s="22" t="s">
        <v>876</v>
      </c>
      <c r="C10" s="22" t="s">
        <v>877</v>
      </c>
      <c r="D10" s="22" t="s">
        <v>859</v>
      </c>
      <c r="E10" s="22" t="s">
        <v>878</v>
      </c>
      <c r="F10" s="22" t="s">
        <v>118</v>
      </c>
      <c r="G10" s="22" t="s">
        <v>879</v>
      </c>
      <c r="H10" s="29" t="s">
        <v>105</v>
      </c>
    </row>
  </sheetData>
  <mergeCells count="2">
    <mergeCell ref="A1:K1"/>
    <mergeCell ref="A2:K2"/>
  </mergeCells>
  <conditionalFormatting sqref="I4:I1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"Skipped"</formula>
    </cfRule>
    <cfRule type="cellIs" priority="6" operator="equal" aboveAverage="0" equalAverage="0" bottom="0" percent="0" rank="0" text="" dxfId="4">
      <formula>"Retest"</formula>
    </cfRule>
  </conditionalFormatting>
  <dataValidations count="2">
    <dataValidation allowBlank="true" error="Pick from the list" errorStyle="stop" operator="between" showDropDown="false" showErrorMessage="false" showInputMessage="false" sqref="I4:I10" type="list">
      <formula1>"Pass,Fail,Blocked,Skipped,Retest"</formula1>
      <formula2>0</formula2>
    </dataValidation>
    <dataValidation allowBlank="true" errorStyle="stop" operator="between" showDropDown="false" showErrorMessage="false" showInputMessage="false" sqref="J4:J10" type="list">
      <formula1>"S1-Critical,S2-Major,S3-Minor,S4-Cosmetic"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2026-06-13T09:05:08Z</dcterms:created>
  <dc:creator>openpyxl</dc:creator>
  <dc:description/>
  <dc:language>en-US</dc:language>
  <cp:lastModifiedBy/>
  <dcterms:modified xsi:type="dcterms:W3CDTF">2026-06-13T09:05:08Z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