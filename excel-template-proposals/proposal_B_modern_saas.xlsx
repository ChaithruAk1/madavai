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jection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<sst xmlns="http://schemas.openxmlformats.org/spreadsheetml/2006/main" count="67" uniqueCount="63">
  <si>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SaaS Unit Economics — Summary</t>
  </si>
  <si>
    <t xml:space="preserve">Generated by Madav · figures recompute live in Excel</t>
  </si>
  <si>
    <t xml:space="preserve">ENDING CUSTOMERS (M12)</t>
  </si>
  <si>
    <t xml:space="preserve">MRR (M12)</t>
  </si>
  <si>
    <t xml:space="preserve">ARR</t>
  </si>
  <si>
    <t xml:space="preserve">LTV : CAC</t>
  </si>
  <si>
    <t xml:space="preserve">SaaS Unit Economics — Assumptions</t>
  </si>
  <si>
    <t xml:space="preserve">STARTING POSITION</t>
  </si>
  <si>
    <t xml:space="preserve">Starting customers</t>
  </si>
  <si>
    <t xml:space="preserve">Month-1 active customers</t>
  </si>
  <si>
    <t xml:space="preserve">ARPU ($/mo)</t>
  </si>
  <si>
    <t xml:space="preserve">Avg revenue per user / month</t>
  </si>
  <si>
    <t xml:space="preserve">GROWTH &amp; RETENTION</t>
  </si>
  <si>
    <t xml:space="preserve">MoM customer growth</t>
  </si>
  <si>
    <t xml:space="preserve">New logos as % of base</t>
  </si>
  <si>
    <t xml:space="preserve">Monthly churn</t>
  </si>
  <si>
    <t xml:space="preserve">Logo churn / month</t>
  </si>
  <si>
    <t xml:space="preserve">ECONOMICS</t>
  </si>
  <si>
    <t xml:space="preserve">Gross margin</t>
  </si>
  <si>
    <t xml:space="preserve">Contribution margin</t>
  </si>
  <si>
    <t xml:space="preserve">S&amp;M spend / mo ($)</t>
  </si>
  <si>
    <t xml:space="preserve">Sales &amp; marketing / month</t>
  </si>
  <si>
    <t xml:space="preserve">Discount rate (annual)</t>
  </si>
  <si>
    <t xml:space="preserve">For DCF-style LTV</t>
  </si>
  <si>
    <t xml:space="preserve">DERIVED METRICS</t>
  </si>
  <si>
    <t xml:space="preserve">Avg customer lifetime (mo)</t>
  </si>
  <si>
    <t xml:space="preserve">1 / monthly churn</t>
  </si>
  <si>
    <t xml:space="preserve">Simple LTV ($)</t>
  </si>
  <si>
    <t xml:space="preserve">ARPU x margin / churn</t>
  </si>
  <si>
    <t xml:space="preserve">12-Month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</si>
  <si>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</si>
  <si>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</si>
  <si>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</si>
  <si>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</si>
  <si>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</si>
  <si>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</si>
  <si>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</si>
  <si>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</si>
  <si>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</si>
  <si>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</si>
  <si>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</si>
  <si>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</si>
  <si>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</si>
  <si>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Beginning customers</t>
  </si>
  <si>
    <t xml:space="preserve">New customers</t>
  </si>
  <si>
    <t xml:space="preserve">Churned customers</t>
  </si>
  <si>
    <t xml:space="preserve">Ending customers</t>
  </si>
  <si>
    <t xml:space="preserve">MRR ($)</t>
  </si>
  <si>
    <t xml:space="preserve">Gross profit ($)</t>
  </si>
  <si>
    <t xml:space="preserve">S&amp;M spend ($)</t>
  </si>
  <si>
    <t xml:space="preserve">CAC ($)</t>
  </si>
  <si>
    <t xml:space="preserve">LTV ($)</t>
  </si>
  <si>
    <t xml:space="preserve">CAC payback (mo)</t>
  </si>
  <si>
    <t xml:space="preserve">Quarterly Analysis — pivot summary</t>
  </si>
  <si>
    <t xml:space="preserve">Quarter</t>
  </si>
  <si>
    <t xml:space="preserve">New custs</t>
  </si>
  <si>
    <t xml:space="preserve">Churned</t>
  </si>
  <si>
    <t xml:space="preserve">Ending</t>
  </si>
  <si>
    <t xml:space="preserve">S&amp;M ($)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</si>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</sst>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\x"/>
    <numFmt numFmtId="168" formatCode="\$#,##0"/>
    <numFmt numFmtId="169" formatCode="0.0%;\(0.0%\);\-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2E"/>
      <name val="Arial"/>
      <family val="0"/>
      <charset val="1"/>
    </font>
    <font>
      <i val="true"/>
      <sz val="10"/>
      <color rgb="FF8A8A9A"/>
      <name val="Arial"/>
      <family val="0"/>
      <charset val="1"/>
    </font>
    <font>
      <b val="true"/>
      <sz val="20"/>
      <color rgb="FF1A1A2E"/>
      <name val="Arial"/>
      <family val="0"/>
      <charset val="1"/>
    </font>
    <font>
      <b val="true"/>
      <sz val="10"/>
      <color rgb="FF8A8A9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5B5BD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3A3A4A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BFBFD"/>
        <bgColor rgb="FFF2F2F5"/>
      </patternFill>
    </fill>
    <fill>
      <patternFill patternType="solid">
        <fgColor rgb="FFF2F2F5"/>
        <bgColor rgb="FFFBFB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5B5BD6"/>
      </left>
      <right/>
      <top/>
      <bottom/>
      <diagonal/>
    </border>
    <border diagonalUp="false" diagonalDown="false">
      <left/>
      <right/>
      <top/>
      <bottom style="thin">
        <color rgb="FF5B5B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BF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F0"/>
      <rgbColor rgb="FF878787"/>
      <rgbColor rgb="FF9999FF"/>
      <rgbColor rgb="FFC0504D"/>
      <rgbColor rgb="FFF2F2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5BD6"/>
      <rgbColor rgb="FF33CCCC"/>
      <rgbColor rgb="FF9BBB59"/>
      <rgbColor rgb="FFFFCC00"/>
      <rgbColor rgb="FFFF9900"/>
      <rgbColor rgb="FFFF6600"/>
      <rgbColor rgb="FF8064A2"/>
      <rgbColor rgb="FF8A8A9A"/>
      <rgbColor rgb="FF003366"/>
      <rgbColor rgb="FF4F81BD"/>
      <rgbColor rgb="FF1A1A2E"/>
      <rgbColor rgb="FF1A1A1A"/>
      <rgbColor rgb="FF993300"/>
      <rgbColor rgb="FF993366"/>
      <rgbColor rgb="FF333399"/>
      <rgbColor rgb="FF3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MRR ($) —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5BD6"/>
            </a:solidFill>
            <a:ln w="25920">
              <a:solidFill>
                <a:srgbClr val="5B5B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Projection!$B$3:$M$3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Projection!$B$9:$M$9</c:f>
              <c:numCache>
                <c:formatCode>\$#,##0;"($"#,##0\);\-</c:formatCode>
                <c:ptCount val="12"/>
                <c:pt idx="0">
                  <c:v>16480</c:v>
                </c:pt>
                <c:pt idx="1">
                  <c:v>16974.4</c:v>
                </c:pt>
                <c:pt idx="2">
                  <c:v>17483.632</c:v>
                </c:pt>
                <c:pt idx="3">
                  <c:v>18008.14096</c:v>
                </c:pt>
                <c:pt idx="4">
                  <c:v>18548.3851888</c:v>
                </c:pt>
                <c:pt idx="5">
                  <c:v>19104.836744464</c:v>
                </c:pt>
                <c:pt idx="6">
                  <c:v>19677.9818467979</c:v>
                </c:pt>
                <c:pt idx="7">
                  <c:v>20268.3213022019</c:v>
                </c:pt>
                <c:pt idx="8">
                  <c:v>20876.3709412679</c:v>
                </c:pt>
                <c:pt idx="9">
                  <c:v>21502.662069506</c:v>
                </c:pt>
                <c:pt idx="10">
                  <c:v>22147.7419315911</c:v>
                </c:pt>
                <c:pt idx="11">
                  <c:v>22812.1741895389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418247"/>
        <c:axId val="93234215"/>
      </c:lineChart>
      <c:catAx>
        <c:axId val="95418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34215"/>
        <c:crosses val="autoZero"/>
        <c:auto val="1"/>
        <c:lblAlgn val="ctr"/>
        <c:lblOffset val="100"/>
        <c:noMultiLvlLbl val="0"/>
      </c:catAx>
      <c:valAx>
        <c:axId val="93234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4182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Analysis!E3</c:f>
              <c:strCache>
                <c:ptCount val="1"/>
                <c:pt idx="0">
                  <c:v>MRR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Analysis!$E$4:$E$7</c:f>
              <c:numCache>
                <c:formatCode>\$#,##0;"($"#,##0\);\-</c:formatCode>
                <c:ptCount val="4"/>
                <c:pt idx="0">
                  <c:v>50938.032</c:v>
                </c:pt>
                <c:pt idx="1">
                  <c:v>55661.362893264</c:v>
                </c:pt>
                <c:pt idx="2">
                  <c:v>60822.6740902677</c:v>
                </c:pt>
                <c:pt idx="3">
                  <c:v>66462.578190636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New vs Churned customers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New custs</c:v>
                </c:pt>
              </c:strCache>
            </c:strRef>
          </c:tx>
          <c:spPr>
            <a:solidFill>
              <a:srgbClr val="5B5BD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Analysis!$B$4:$B$7</c:f>
              <c:numCache>
                <c:formatCode>#,##0;\(#,##0\);\-</c:formatCode>
                <c:ptCount val="4"/>
                <c:pt idx="0">
                  <c:v>37.0908</c:v>
                </c:pt>
                <c:pt idx="1">
                  <c:v>40.5301186116</c:v>
                </c:pt>
                <c:pt idx="2">
                  <c:v>44.2883549200978</c:v>
                </c:pt>
                <c:pt idx="3">
                  <c:v>48.3950812067737</c:v>
                </c:pt>
              </c:numCache>
            </c:numRef>
          </c:val>
        </c:ser>
        <c:ser>
          <c:idx val="1"/>
          <c:order val="1"/>
          <c:tx>
            <c:strRef>
              <c:f>Analysis!C3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B7B7F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Analysis!$C$4:$C$7</c:f>
              <c:numCache>
                <c:formatCode>#,##0;\(#,##0\);\-</c:formatCode>
                <c:ptCount val="4"/>
                <c:pt idx="0">
                  <c:v>18.5454</c:v>
                </c:pt>
                <c:pt idx="1">
                  <c:v>20.2650593058</c:v>
                </c:pt>
                <c:pt idx="2">
                  <c:v>22.1441774600489</c:v>
                </c:pt>
                <c:pt idx="3">
                  <c:v>24.1975406033869</c:v>
                </c:pt>
              </c:numCache>
            </c:numRef>
          </c:val>
        </c:ser>
        <c:gapWidth val="150"/>
        <c:overlap val="0"/>
        <c:axId val="90563780"/>
        <c:axId val="24072315"/>
      </c:barChart>
      <c:catAx>
        <c:axId val="90563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072315"/>
        <c:crosses val="autoZero"/>
        <c:auto val="1"/>
        <c:lblAlgn val="ctr"/>
        <c:lblOffset val="100"/>
        <c:noMultiLvlLbl val="0"/>
      </c:catAx>
      <c:valAx>
        <c:axId val="24072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63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profit ($)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Analysis!F3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5B5BD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Analysis!$F$4:$F$7</c:f>
              <c:numCache>
                <c:formatCode>\$#,##0;"($"#,##0\);\-</c:formatCode>
                <c:ptCount val="4"/>
                <c:pt idx="0">
                  <c:v>40750.4256</c:v>
                </c:pt>
                <c:pt idx="1">
                  <c:v>44529.0903146112</c:v>
                </c:pt>
                <c:pt idx="2">
                  <c:v>48658.1392722141</c:v>
                </c:pt>
                <c:pt idx="3">
                  <c:v>53170.0625525088</c:v>
                </c:pt>
              </c:numCache>
            </c:numRef>
          </c:val>
        </c:ser>
        <c:gapWidth val="150"/>
        <c:overlap val="0"/>
        <c:axId val="23534565"/>
        <c:axId val="38151864"/>
      </c:barChart>
      <c:catAx>
        <c:axId val="23534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51864"/>
        <c:crosses val="autoZero"/>
        <c:auto val="1"/>
        <c:lblAlgn val="ctr"/>
        <c:lblOffset val="100"/>
        <c:noMultiLvlLbl val="0"/>
      </c:catAx>
      <c:valAx>
        <c:axId val="38151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345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137160</xdr:colOff>
      <xdr:row>23</xdr:row>
      <xdr:rowOff>89640</xdr:rowOff>
    </xdr:to>
    <xdr:graphicFrame>
      <xdr:nvGraphicFramePr>
        <xdr:cNvPr id="1" name="Chart 1"/>
        <xdr:cNvGraphicFramePr/>
      </xdr:nvGraphicFramePr>
      <xdr:xfrm>
        <a:off x="211320" y="2390760"/>
        <a:ext cx="48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364680</xdr:colOff>
      <xdr:row>41</xdr:row>
      <xdr:rowOff>89640</xdr:rowOff>
    </xdr:to>
    <xdr:graphicFrame>
      <xdr:nvGraphicFramePr>
        <xdr:cNvPr id="2" name="Chart 2"/>
        <xdr:cNvGraphicFramePr/>
      </xdr:nvGraphicFramePr>
      <xdr:xfrm>
        <a:off x="211320" y="5819760"/>
        <a:ext cx="39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975240</xdr:colOff>
      <xdr:row>21</xdr:row>
      <xdr:rowOff>17640</xdr:rowOff>
    </xdr:to>
    <xdr:graphicFrame>
      <xdr:nvGraphicFramePr>
        <xdr:cNvPr id="3" name="Chart 1"/>
        <xdr:cNvGraphicFramePr/>
      </xdr:nvGraphicFramePr>
      <xdr:xfrm>
        <a:off x="0" y="221940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4</xdr:col>
      <xdr:colOff>975240</xdr:colOff>
      <xdr:row>37</xdr:row>
      <xdr:rowOff>17640</xdr:rowOff>
    </xdr:to>
    <xdr:graphicFrame>
      <xdr:nvGraphicFramePr>
        <xdr:cNvPr id="4" name="Chart 2"/>
        <xdr:cNvGraphicFramePr/>
      </xdr:nvGraphicFramePr>
      <xdr:xfrm>
        <a:off x="0" y="526716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B4" s="3" t="n">
        <f aca="false">Projection!M7</f>
        <v>285.152177369236</v>
      </c>
      <c r="C4" s="3"/>
      <c r="E4" s="4" t="n">
        <f aca="false">Projection!M9</f>
        <v>22812.1741895389</v>
      </c>
      <c r="F4" s="4"/>
    </row>
    <row r="5" customFormat="false" ht="6" hidden="false" customHeight="true" outlineLevel="0" collapsed="false">
      <c r="B5" s="3"/>
      <c r="C5" s="3"/>
      <c r="E5" s="4"/>
      <c r="F5" s="4"/>
    </row>
    <row r="6" customFormat="false" ht="15.75" hidden="false" customHeight="true" outlineLevel="0" collapsed="false">
      <c r="B6" s="5" t="s">
        <v>2</v>
      </c>
      <c r="C6" s="5"/>
      <c r="E6" s="5" t="s">
        <v>3</v>
      </c>
      <c r="F6" s="5"/>
    </row>
    <row r="8" customFormat="false" ht="25.5" hidden="false" customHeight="true" outlineLevel="0" collapsed="false">
      <c r="B8" s="4" t="n">
        <f aca="false">Projection!M9*12</f>
        <v>273746.090274466</v>
      </c>
      <c r="C8" s="4"/>
      <c r="E8" s="6" t="n">
        <f aca="false">Projection!M14</f>
        <v>1.26558525323378</v>
      </c>
      <c r="F8" s="6"/>
    </row>
    <row r="9" customFormat="false" ht="6" hidden="false" customHeight="true" outlineLevel="0" collapsed="false">
      <c r="B9" s="4"/>
      <c r="C9" s="4"/>
      <c r="E9" s="6"/>
      <c r="F9" s="6"/>
    </row>
    <row r="10" customFormat="false" ht="15.75" hidden="false" customHeight="true" outlineLevel="0" collapsed="false">
      <c r="B10" s="5" t="s">
        <v>4</v>
      </c>
      <c r="C10" s="5"/>
      <c r="E10" s="5" t="s">
        <v>5</v>
      </c>
      <c r="F10" s="5"/>
    </row>
  </sheetData>
  <mergeCells count="10">
    <mergeCell ref="A1:G1"/>
    <mergeCell ref="A2:G2"/>
    <mergeCell ref="B4:C5"/>
    <mergeCell ref="E4:F5"/>
    <mergeCell ref="B6:C6"/>
    <mergeCell ref="E6:F6"/>
    <mergeCell ref="B8:C9"/>
    <mergeCell ref="E8:F9"/>
    <mergeCell ref="B10:C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6</v>
      </c>
      <c r="B1" s="1"/>
      <c r="C1" s="1"/>
    </row>
    <row r="3" customFormat="false" ht="24" hidden="false" customHeight="true" outlineLevel="0" collapsed="false">
      <c r="A3" s="7" t="s">
        <v>7</v>
      </c>
      <c r="B3" s="7"/>
      <c r="C3" s="7"/>
    </row>
    <row r="4" customFormat="false" ht="21.75" hidden="false" customHeight="true" outlineLevel="0" collapsed="false">
      <c r="A4" s="8" t="s">
        <v>8</v>
      </c>
      <c r="B4" s="9" t="n">
        <v>200</v>
      </c>
      <c r="C4" s="10" t="s">
        <v>9</v>
      </c>
    </row>
    <row r="5" customFormat="false" ht="21.75" hidden="false" customHeight="true" outlineLevel="0" collapsed="false">
      <c r="A5" s="8" t="s">
        <v>10</v>
      </c>
      <c r="B5" s="11" t="n">
        <v>80</v>
      </c>
      <c r="C5" s="10" t="s">
        <v>11</v>
      </c>
    </row>
    <row r="7" customFormat="false" ht="24" hidden="false" customHeight="true" outlineLevel="0" collapsed="false">
      <c r="A7" s="7" t="s">
        <v>12</v>
      </c>
      <c r="B7" s="7"/>
      <c r="C7" s="7"/>
    </row>
    <row r="8" customFormat="false" ht="21.75" hidden="false" customHeight="true" outlineLevel="0" collapsed="false">
      <c r="A8" s="8" t="s">
        <v>13</v>
      </c>
      <c r="B8" s="12" t="n">
        <v>0.06</v>
      </c>
      <c r="C8" s="10" t="s">
        <v>14</v>
      </c>
    </row>
    <row r="9" customFormat="false" ht="21.75" hidden="false" customHeight="true" outlineLevel="0" collapsed="false">
      <c r="A9" s="8" t="s">
        <v>15</v>
      </c>
      <c r="B9" s="12" t="n">
        <v>0.03</v>
      </c>
      <c r="C9" s="10" t="s">
        <v>16</v>
      </c>
    </row>
    <row r="11" customFormat="false" ht="24" hidden="false" customHeight="true" outlineLevel="0" collapsed="false">
      <c r="A11" s="7" t="s">
        <v>17</v>
      </c>
      <c r="B11" s="7"/>
      <c r="C11" s="7"/>
    </row>
    <row r="12" customFormat="false" ht="21.75" hidden="false" customHeight="true" outlineLevel="0" collapsed="false">
      <c r="A12" s="8" t="s">
        <v>18</v>
      </c>
      <c r="B12" s="12" t="n">
        <v>0.8</v>
      </c>
      <c r="C12" s="10" t="s">
        <v>19</v>
      </c>
    </row>
    <row r="13" customFormat="false" ht="21.75" hidden="false" customHeight="true" outlineLevel="0" collapsed="false">
      <c r="A13" s="8" t="s">
        <v>20</v>
      </c>
      <c r="B13" s="11" t="n">
        <v>28000</v>
      </c>
      <c r="C13" s="10" t="s">
        <v>21</v>
      </c>
    </row>
    <row r="14" customFormat="false" ht="21.75" hidden="false" customHeight="true" outlineLevel="0" collapsed="false">
      <c r="A14" s="8" t="s">
        <v>22</v>
      </c>
      <c r="B14" s="12" t="n">
        <v>0.12</v>
      </c>
      <c r="C14" s="10" t="s">
        <v>23</v>
      </c>
    </row>
    <row r="16" customFormat="false" ht="24" hidden="false" customHeight="true" outlineLevel="0" collapsed="false">
      <c r="A16" s="7" t="s">
        <v>24</v>
      </c>
      <c r="B16" s="7"/>
      <c r="C16" s="7"/>
    </row>
    <row r="17" customFormat="false" ht="21.75" hidden="false" customHeight="true" outlineLevel="0" collapsed="false">
      <c r="A17" s="8" t="s">
        <v>25</v>
      </c>
      <c r="B17" s="13" t="n">
        <f aca="false">1/Assumptions!$B$9</f>
        <v>33.3333333333333</v>
      </c>
      <c r="C17" s="10" t="s">
        <v>26</v>
      </c>
    </row>
    <row r="18" customFormat="false" ht="21.75" hidden="false" customHeight="true" outlineLevel="0" collapsed="false">
      <c r="A18" s="8" t="s">
        <v>27</v>
      </c>
      <c r="B18" s="14" t="n">
        <f aca="false">(Assumptions!$B$5*Assumptions!$B$12)/Assumptions!$B$9</f>
        <v>2133.33333333333</v>
      </c>
      <c r="C18" s="10" t="s">
        <v>28</v>
      </c>
    </row>
  </sheetData>
  <mergeCells count="5">
    <mergeCell ref="A1:C1"/>
    <mergeCell ref="A3:C3"/>
    <mergeCell ref="A7:C7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5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  <c r="L3" s="16" t="s">
        <v>41</v>
      </c>
      <c r="M3" s="16" t="s">
        <v>42</v>
      </c>
    </row>
    <row r="4" customFormat="false" ht="21.75" hidden="false" customHeight="true" outlineLevel="0" collapsed="false">
      <c r="A4" s="17" t="s">
        <v>43</v>
      </c>
      <c r="B4" s="18" t="n">
        <f aca="false">Assumptions!$B$4</f>
        <v>200</v>
      </c>
      <c r="C4" s="18" t="n">
        <f aca="false">B7</f>
        <v>206</v>
      </c>
      <c r="D4" s="18" t="n">
        <f aca="false">C7</f>
        <v>212.18</v>
      </c>
      <c r="E4" s="18" t="n">
        <f aca="false">D7</f>
        <v>218.5454</v>
      </c>
      <c r="F4" s="18" t="n">
        <f aca="false">E7</f>
        <v>225.101762</v>
      </c>
      <c r="G4" s="18" t="n">
        <f aca="false">F7</f>
        <v>231.85481486</v>
      </c>
      <c r="H4" s="18" t="n">
        <f aca="false">G7</f>
        <v>238.8104593058</v>
      </c>
      <c r="I4" s="18" t="n">
        <f aca="false">H7</f>
        <v>245.974773084974</v>
      </c>
      <c r="J4" s="18" t="n">
        <f aca="false">I7</f>
        <v>253.354016277523</v>
      </c>
      <c r="K4" s="18" t="n">
        <f aca="false">J7</f>
        <v>260.954636765849</v>
      </c>
      <c r="L4" s="18" t="n">
        <f aca="false">K7</f>
        <v>268.783275868824</v>
      </c>
      <c r="M4" s="18" t="n">
        <f aca="false">L7</f>
        <v>276.846774144889</v>
      </c>
    </row>
    <row r="5" customFormat="false" ht="21.75" hidden="false" customHeight="true" outlineLevel="0" collapsed="false">
      <c r="A5" s="19" t="s">
        <v>44</v>
      </c>
      <c r="B5" s="20" t="n">
        <f aca="false">B4*Assumptions!$B$8</f>
        <v>12</v>
      </c>
      <c r="C5" s="20" t="n">
        <f aca="false">C4*Assumptions!$B$8</f>
        <v>12.36</v>
      </c>
      <c r="D5" s="20" t="n">
        <f aca="false">D4*Assumptions!$B$8</f>
        <v>12.7308</v>
      </c>
      <c r="E5" s="20" t="n">
        <f aca="false">E4*Assumptions!$B$8</f>
        <v>13.112724</v>
      </c>
      <c r="F5" s="20" t="n">
        <f aca="false">F4*Assumptions!$B$8</f>
        <v>13.50610572</v>
      </c>
      <c r="G5" s="20" t="n">
        <f aca="false">G4*Assumptions!$B$8</f>
        <v>13.9112888916</v>
      </c>
      <c r="H5" s="20" t="n">
        <f aca="false">H4*Assumptions!$B$8</f>
        <v>14.328627558348</v>
      </c>
      <c r="I5" s="20" t="n">
        <f aca="false">I4*Assumptions!$B$8</f>
        <v>14.7584863850984</v>
      </c>
      <c r="J5" s="20" t="n">
        <f aca="false">J4*Assumptions!$B$8</f>
        <v>15.2012409766514</v>
      </c>
      <c r="K5" s="20" t="n">
        <f aca="false">K4*Assumptions!$B$8</f>
        <v>15.6572782059509</v>
      </c>
      <c r="L5" s="20" t="n">
        <f aca="false">L4*Assumptions!$B$8</f>
        <v>16.1269965521295</v>
      </c>
      <c r="M5" s="20" t="n">
        <f aca="false">M4*Assumptions!$B$8</f>
        <v>16.6108064486934</v>
      </c>
    </row>
    <row r="6" customFormat="false" ht="21.75" hidden="false" customHeight="true" outlineLevel="0" collapsed="false">
      <c r="A6" s="17" t="s">
        <v>45</v>
      </c>
      <c r="B6" s="21" t="n">
        <f aca="false">B4*Assumptions!$B$9</f>
        <v>6</v>
      </c>
      <c r="C6" s="21" t="n">
        <f aca="false">C4*Assumptions!$B$9</f>
        <v>6.18</v>
      </c>
      <c r="D6" s="21" t="n">
        <f aca="false">D4*Assumptions!$B$9</f>
        <v>6.3654</v>
      </c>
      <c r="E6" s="21" t="n">
        <f aca="false">E4*Assumptions!$B$9</f>
        <v>6.556362</v>
      </c>
      <c r="F6" s="21" t="n">
        <f aca="false">F4*Assumptions!$B$9</f>
        <v>6.75305286</v>
      </c>
      <c r="G6" s="21" t="n">
        <f aca="false">G4*Assumptions!$B$9</f>
        <v>6.9556444458</v>
      </c>
      <c r="H6" s="21" t="n">
        <f aca="false">H4*Assumptions!$B$9</f>
        <v>7.164313779174</v>
      </c>
      <c r="I6" s="21" t="n">
        <f aca="false">I4*Assumptions!$B$9</f>
        <v>7.37924319254922</v>
      </c>
      <c r="J6" s="21" t="n">
        <f aca="false">J4*Assumptions!$B$9</f>
        <v>7.6006204883257</v>
      </c>
      <c r="K6" s="21" t="n">
        <f aca="false">K4*Assumptions!$B$9</f>
        <v>7.82863910297547</v>
      </c>
      <c r="L6" s="21" t="n">
        <f aca="false">L4*Assumptions!$B$9</f>
        <v>8.06349827606473</v>
      </c>
      <c r="M6" s="21" t="n">
        <f aca="false">M4*Assumptions!$B$9</f>
        <v>8.30540322434668</v>
      </c>
    </row>
    <row r="7" customFormat="false" ht="21.75" hidden="false" customHeight="true" outlineLevel="0" collapsed="false">
      <c r="A7" s="22" t="s">
        <v>46</v>
      </c>
      <c r="B7" s="23" t="n">
        <f aca="false">B4+B5-B6</f>
        <v>206</v>
      </c>
      <c r="C7" s="23" t="n">
        <f aca="false">C4+C5-C6</f>
        <v>212.18</v>
      </c>
      <c r="D7" s="23" t="n">
        <f aca="false">D4+D5-D6</f>
        <v>218.5454</v>
      </c>
      <c r="E7" s="23" t="n">
        <f aca="false">E4+E5-E6</f>
        <v>225.101762</v>
      </c>
      <c r="F7" s="23" t="n">
        <f aca="false">F4+F5-F6</f>
        <v>231.85481486</v>
      </c>
      <c r="G7" s="23" t="n">
        <f aca="false">G4+G5-G6</f>
        <v>238.8104593058</v>
      </c>
      <c r="H7" s="23" t="n">
        <f aca="false">H4+H5-H6</f>
        <v>245.974773084974</v>
      </c>
      <c r="I7" s="23" t="n">
        <f aca="false">I4+I5-I6</f>
        <v>253.354016277523</v>
      </c>
      <c r="J7" s="23" t="n">
        <f aca="false">J4+J5-J6</f>
        <v>260.954636765849</v>
      </c>
      <c r="K7" s="23" t="n">
        <f aca="false">K4+K5-K6</f>
        <v>268.783275868824</v>
      </c>
      <c r="L7" s="23" t="n">
        <f aca="false">L4+L5-L6</f>
        <v>276.846774144889</v>
      </c>
      <c r="M7" s="23" t="n">
        <f aca="false">M4+M5-M6</f>
        <v>285.152177369236</v>
      </c>
    </row>
    <row r="8" customFormat="false" ht="21.75" hidden="false" customHeight="true" outlineLevel="0" collapsed="false">
      <c r="A8" s="17" t="s">
        <v>10</v>
      </c>
      <c r="B8" s="24" t="n">
        <f aca="false">Assumptions!$B$5</f>
        <v>80</v>
      </c>
      <c r="C8" s="24" t="n">
        <f aca="false">Assumptions!$B$5</f>
        <v>80</v>
      </c>
      <c r="D8" s="24" t="n">
        <f aca="false">Assumptions!$B$5</f>
        <v>80</v>
      </c>
      <c r="E8" s="24" t="n">
        <f aca="false">Assumptions!$B$5</f>
        <v>80</v>
      </c>
      <c r="F8" s="24" t="n">
        <f aca="false">Assumptions!$B$5</f>
        <v>80</v>
      </c>
      <c r="G8" s="24" t="n">
        <f aca="false">Assumptions!$B$5</f>
        <v>80</v>
      </c>
      <c r="H8" s="24" t="n">
        <f aca="false">Assumptions!$B$5</f>
        <v>80</v>
      </c>
      <c r="I8" s="24" t="n">
        <f aca="false">Assumptions!$B$5</f>
        <v>80</v>
      </c>
      <c r="J8" s="24" t="n">
        <f aca="false">Assumptions!$B$5</f>
        <v>80</v>
      </c>
      <c r="K8" s="24" t="n">
        <f aca="false">Assumptions!$B$5</f>
        <v>80</v>
      </c>
      <c r="L8" s="24" t="n">
        <f aca="false">Assumptions!$B$5</f>
        <v>80</v>
      </c>
      <c r="M8" s="24" t="n">
        <f aca="false">Assumptions!$B$5</f>
        <v>80</v>
      </c>
    </row>
    <row r="9" customFormat="false" ht="21.75" hidden="false" customHeight="true" outlineLevel="0" collapsed="false">
      <c r="A9" s="19" t="s">
        <v>47</v>
      </c>
      <c r="B9" s="25" t="n">
        <f aca="false">B7*B8</f>
        <v>16480</v>
      </c>
      <c r="C9" s="25" t="n">
        <f aca="false">C7*C8</f>
        <v>16974.4</v>
      </c>
      <c r="D9" s="25" t="n">
        <f aca="false">D7*D8</f>
        <v>17483.632</v>
      </c>
      <c r="E9" s="25" t="n">
        <f aca="false">E7*E8</f>
        <v>18008.14096</v>
      </c>
      <c r="F9" s="25" t="n">
        <f aca="false">F7*F8</f>
        <v>18548.3851888</v>
      </c>
      <c r="G9" s="25" t="n">
        <f aca="false">G7*G8</f>
        <v>19104.836744464</v>
      </c>
      <c r="H9" s="25" t="n">
        <f aca="false">H7*H8</f>
        <v>19677.9818467979</v>
      </c>
      <c r="I9" s="25" t="n">
        <f aca="false">I7*I8</f>
        <v>20268.3213022019</v>
      </c>
      <c r="J9" s="25" t="n">
        <f aca="false">J7*J8</f>
        <v>20876.3709412679</v>
      </c>
      <c r="K9" s="25" t="n">
        <f aca="false">K7*K8</f>
        <v>21502.662069506</v>
      </c>
      <c r="L9" s="25" t="n">
        <f aca="false">L7*L8</f>
        <v>22147.7419315911</v>
      </c>
      <c r="M9" s="25" t="n">
        <f aca="false">M7*M8</f>
        <v>22812.1741895389</v>
      </c>
    </row>
    <row r="10" customFormat="false" ht="21.75" hidden="false" customHeight="true" outlineLevel="0" collapsed="false">
      <c r="A10" s="17" t="s">
        <v>48</v>
      </c>
      <c r="B10" s="14" t="n">
        <f aca="false">B9*Assumptions!$B$12</f>
        <v>13184</v>
      </c>
      <c r="C10" s="14" t="n">
        <f aca="false">C9*Assumptions!$B$12</f>
        <v>13579.52</v>
      </c>
      <c r="D10" s="14" t="n">
        <f aca="false">D9*Assumptions!$B$12</f>
        <v>13986.9056</v>
      </c>
      <c r="E10" s="14" t="n">
        <f aca="false">E9*Assumptions!$B$12</f>
        <v>14406.512768</v>
      </c>
      <c r="F10" s="14" t="n">
        <f aca="false">F9*Assumptions!$B$12</f>
        <v>14838.70815104</v>
      </c>
      <c r="G10" s="14" t="n">
        <f aca="false">G9*Assumptions!$B$12</f>
        <v>15283.8693955712</v>
      </c>
      <c r="H10" s="14" t="n">
        <f aca="false">H9*Assumptions!$B$12</f>
        <v>15742.3854774383</v>
      </c>
      <c r="I10" s="14" t="n">
        <f aca="false">I9*Assumptions!$B$12</f>
        <v>16214.6570417615</v>
      </c>
      <c r="J10" s="14" t="n">
        <f aca="false">J9*Assumptions!$B$12</f>
        <v>16701.0967530143</v>
      </c>
      <c r="K10" s="14" t="n">
        <f aca="false">K9*Assumptions!$B$12</f>
        <v>17202.1296556048</v>
      </c>
      <c r="L10" s="14" t="n">
        <f aca="false">L9*Assumptions!$B$12</f>
        <v>17718.1935452729</v>
      </c>
      <c r="M10" s="14" t="n">
        <f aca="false">M9*Assumptions!$B$12</f>
        <v>18249.7393516311</v>
      </c>
    </row>
    <row r="11" customFormat="false" ht="21.75" hidden="false" customHeight="true" outlineLevel="0" collapsed="false">
      <c r="A11" s="19" t="s">
        <v>49</v>
      </c>
      <c r="B11" s="26" t="n">
        <f aca="false">Assumptions!$B$13</f>
        <v>28000</v>
      </c>
      <c r="C11" s="26" t="n">
        <f aca="false">Assumptions!$B$13</f>
        <v>28000</v>
      </c>
      <c r="D11" s="26" t="n">
        <f aca="false">Assumptions!$B$13</f>
        <v>28000</v>
      </c>
      <c r="E11" s="26" t="n">
        <f aca="false">Assumptions!$B$13</f>
        <v>28000</v>
      </c>
      <c r="F11" s="26" t="n">
        <f aca="false">Assumptions!$B$13</f>
        <v>28000</v>
      </c>
      <c r="G11" s="26" t="n">
        <f aca="false">Assumptions!$B$13</f>
        <v>28000</v>
      </c>
      <c r="H11" s="26" t="n">
        <f aca="false">Assumptions!$B$13</f>
        <v>28000</v>
      </c>
      <c r="I11" s="26" t="n">
        <f aca="false">Assumptions!$B$13</f>
        <v>28000</v>
      </c>
      <c r="J11" s="26" t="n">
        <f aca="false">Assumptions!$B$13</f>
        <v>28000</v>
      </c>
      <c r="K11" s="26" t="n">
        <f aca="false">Assumptions!$B$13</f>
        <v>28000</v>
      </c>
      <c r="L11" s="26" t="n">
        <f aca="false">Assumptions!$B$13</f>
        <v>28000</v>
      </c>
      <c r="M11" s="26" t="n">
        <f aca="false">Assumptions!$B$13</f>
        <v>28000</v>
      </c>
    </row>
    <row r="12" customFormat="false" ht="21.75" hidden="false" customHeight="true" outlineLevel="0" collapsed="false">
      <c r="A12" s="17" t="s">
        <v>50</v>
      </c>
      <c r="B12" s="14" t="n">
        <f aca="false">B11/B5</f>
        <v>2333.33333333333</v>
      </c>
      <c r="C12" s="14" t="n">
        <f aca="false">C11/C5</f>
        <v>2265.37216828479</v>
      </c>
      <c r="D12" s="14" t="n">
        <f aca="false">D11/D5</f>
        <v>2199.39045464543</v>
      </c>
      <c r="E12" s="14" t="n">
        <f aca="false">E11/E5</f>
        <v>2135.33053849071</v>
      </c>
      <c r="F12" s="14" t="n">
        <f aca="false">F11/F5</f>
        <v>2073.13644513661</v>
      </c>
      <c r="G12" s="14" t="n">
        <f aca="false">G11/G5</f>
        <v>2012.75383022972</v>
      </c>
      <c r="H12" s="14" t="n">
        <f aca="false">H11/H5</f>
        <v>1954.12993226186</v>
      </c>
      <c r="I12" s="14" t="n">
        <f aca="false">I11/I5</f>
        <v>1897.21352646783</v>
      </c>
      <c r="J12" s="14" t="n">
        <f aca="false">J11/J5</f>
        <v>1841.95488006585</v>
      </c>
      <c r="K12" s="14" t="n">
        <f aca="false">K11/K5</f>
        <v>1788.3057088018</v>
      </c>
      <c r="L12" s="14" t="n">
        <f aca="false">L11/L5</f>
        <v>1736.21913475903</v>
      </c>
      <c r="M12" s="14" t="n">
        <f aca="false">M11/M5</f>
        <v>1685.64964539711</v>
      </c>
    </row>
    <row r="13" customFormat="false" ht="21.75" hidden="false" customHeight="true" outlineLevel="0" collapsed="false">
      <c r="A13" s="19" t="s">
        <v>51</v>
      </c>
      <c r="B13" s="25" t="n">
        <f aca="false">B8*Assumptions!$B$12/Assumptions!$B$9</f>
        <v>2133.33333333333</v>
      </c>
      <c r="C13" s="25" t="n">
        <f aca="false">C8*Assumptions!$B$12/Assumptions!$B$9</f>
        <v>2133.33333333333</v>
      </c>
      <c r="D13" s="25" t="n">
        <f aca="false">D8*Assumptions!$B$12/Assumptions!$B$9</f>
        <v>2133.33333333333</v>
      </c>
      <c r="E13" s="25" t="n">
        <f aca="false">E8*Assumptions!$B$12/Assumptions!$B$9</f>
        <v>2133.33333333333</v>
      </c>
      <c r="F13" s="25" t="n">
        <f aca="false">F8*Assumptions!$B$12/Assumptions!$B$9</f>
        <v>2133.33333333333</v>
      </c>
      <c r="G13" s="25" t="n">
        <f aca="false">G8*Assumptions!$B$12/Assumptions!$B$9</f>
        <v>2133.33333333333</v>
      </c>
      <c r="H13" s="25" t="n">
        <f aca="false">H8*Assumptions!$B$12/Assumptions!$B$9</f>
        <v>2133.33333333333</v>
      </c>
      <c r="I13" s="25" t="n">
        <f aca="false">I8*Assumptions!$B$12/Assumptions!$B$9</f>
        <v>2133.33333333333</v>
      </c>
      <c r="J13" s="25" t="n">
        <f aca="false">J8*Assumptions!$B$12/Assumptions!$B$9</f>
        <v>2133.33333333333</v>
      </c>
      <c r="K13" s="25" t="n">
        <f aca="false">K8*Assumptions!$B$12/Assumptions!$B$9</f>
        <v>2133.33333333333</v>
      </c>
      <c r="L13" s="25" t="n">
        <f aca="false">L8*Assumptions!$B$12/Assumptions!$B$9</f>
        <v>2133.33333333333</v>
      </c>
      <c r="M13" s="25" t="n">
        <f aca="false">M8*Assumptions!$B$12/Assumptions!$B$9</f>
        <v>2133.33333333333</v>
      </c>
    </row>
    <row r="14" customFormat="false" ht="21.75" hidden="false" customHeight="true" outlineLevel="0" collapsed="false">
      <c r="A14" s="17" t="s">
        <v>5</v>
      </c>
      <c r="B14" s="27" t="n">
        <f aca="false">B13/B12</f>
        <v>0.914285714285714</v>
      </c>
      <c r="C14" s="27" t="n">
        <f aca="false">C13/C12</f>
        <v>0.941714285714286</v>
      </c>
      <c r="D14" s="27" t="n">
        <f aca="false">D13/D12</f>
        <v>0.969965714285714</v>
      </c>
      <c r="E14" s="27" t="n">
        <f aca="false">E13/E12</f>
        <v>0.999064685714286</v>
      </c>
      <c r="F14" s="27" t="n">
        <f aca="false">F13/F12</f>
        <v>1.02903662628571</v>
      </c>
      <c r="G14" s="27" t="n">
        <f aca="false">G13/G12</f>
        <v>1.05990772507429</v>
      </c>
      <c r="H14" s="27" t="n">
        <f aca="false">H13/H12</f>
        <v>1.09170495682651</v>
      </c>
      <c r="I14" s="27" t="n">
        <f aca="false">I13/I12</f>
        <v>1.12445610553131</v>
      </c>
      <c r="J14" s="27" t="n">
        <f aca="false">J13/J12</f>
        <v>1.15818978869725</v>
      </c>
      <c r="K14" s="27" t="n">
        <f aca="false">K13/K12</f>
        <v>1.19293548235817</v>
      </c>
      <c r="L14" s="27" t="n">
        <f aca="false">L13/L12</f>
        <v>1.22872354682891</v>
      </c>
      <c r="M14" s="27" t="n">
        <f aca="false">M13/M12</f>
        <v>1.26558525323378</v>
      </c>
    </row>
    <row r="15" customFormat="false" ht="21.75" hidden="false" customHeight="true" outlineLevel="0" collapsed="false">
      <c r="A15" s="19" t="s">
        <v>52</v>
      </c>
      <c r="B15" s="28" t="n">
        <f aca="false">B12/(B8*Assumptions!$B$12)</f>
        <v>36.4583333333333</v>
      </c>
      <c r="C15" s="28" t="n">
        <f aca="false">C12/(C8*Assumptions!$B$12)</f>
        <v>35.3964401294498</v>
      </c>
      <c r="D15" s="28" t="n">
        <f aca="false">D12/(D8*Assumptions!$B$12)</f>
        <v>34.3654758538348</v>
      </c>
      <c r="E15" s="28" t="n">
        <f aca="false">E12/(E8*Assumptions!$B$12)</f>
        <v>33.3645396639173</v>
      </c>
      <c r="F15" s="28" t="n">
        <f aca="false">F12/(F8*Assumptions!$B$12)</f>
        <v>32.3927569552595</v>
      </c>
      <c r="G15" s="28" t="n">
        <f aca="false">G12/(G8*Assumptions!$B$12)</f>
        <v>31.4492785973393</v>
      </c>
      <c r="H15" s="28" t="n">
        <f aca="false">H12/(H8*Assumptions!$B$12)</f>
        <v>30.5332801915916</v>
      </c>
      <c r="I15" s="28" t="n">
        <f aca="false">I12/(I8*Assumptions!$B$12)</f>
        <v>29.6439613510598</v>
      </c>
      <c r="J15" s="28" t="n">
        <f aca="false">J12/(J8*Assumptions!$B$12)</f>
        <v>28.7805450010289</v>
      </c>
      <c r="K15" s="28" t="n">
        <f aca="false">K12/(K8*Assumptions!$B$12)</f>
        <v>27.9422767000281</v>
      </c>
      <c r="L15" s="28" t="n">
        <f aca="false">L12/(L8*Assumptions!$B$12)</f>
        <v>27.1284239806098</v>
      </c>
      <c r="M15" s="28" t="n">
        <f aca="false">M12/(M8*Assumptions!$B$12)</f>
        <v>26.3382757093299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47</v>
      </c>
      <c r="F3" s="16" t="s">
        <v>48</v>
      </c>
      <c r="G3" s="16" t="s">
        <v>58</v>
      </c>
    </row>
    <row r="4" customFormat="false" ht="21.75" hidden="false" customHeight="true" outlineLevel="0" collapsed="false">
      <c r="A4" s="29" t="s">
        <v>59</v>
      </c>
      <c r="B4" s="18" t="n">
        <f aca="false">SUM(Projection!B5:D5)</f>
        <v>37.0908</v>
      </c>
      <c r="C4" s="18" t="n">
        <f aca="false">SUM(Projection!B6:D6)</f>
        <v>18.5454</v>
      </c>
      <c r="D4" s="18" t="n">
        <f aca="false">Projection!D7</f>
        <v>218.5454</v>
      </c>
      <c r="E4" s="24" t="n">
        <f aca="false">SUM(Projection!B9:D9)</f>
        <v>50938.032</v>
      </c>
      <c r="F4" s="24" t="n">
        <f aca="false">SUM(Projection!B10:D10)</f>
        <v>40750.4256</v>
      </c>
      <c r="G4" s="24" t="n">
        <f aca="false">SUM(Projection!B11:D11)</f>
        <v>84000</v>
      </c>
    </row>
    <row r="5" customFormat="false" ht="21.75" hidden="false" customHeight="true" outlineLevel="0" collapsed="false">
      <c r="A5" s="22" t="s">
        <v>60</v>
      </c>
      <c r="B5" s="30" t="n">
        <f aca="false">SUM(Projection!E5:G5)</f>
        <v>40.5301186116</v>
      </c>
      <c r="C5" s="30" t="n">
        <f aca="false">SUM(Projection!E6:G6)</f>
        <v>20.2650593058</v>
      </c>
      <c r="D5" s="30" t="n">
        <f aca="false">Projection!G7</f>
        <v>238.8104593058</v>
      </c>
      <c r="E5" s="26" t="n">
        <f aca="false">SUM(Projection!E9:G9)</f>
        <v>55661.362893264</v>
      </c>
      <c r="F5" s="26" t="n">
        <f aca="false">SUM(Projection!E10:G10)</f>
        <v>44529.0903146112</v>
      </c>
      <c r="G5" s="26" t="n">
        <f aca="false">SUM(Projection!E11:G11)</f>
        <v>84000</v>
      </c>
    </row>
    <row r="6" customFormat="false" ht="21.75" hidden="false" customHeight="true" outlineLevel="0" collapsed="false">
      <c r="A6" s="29" t="s">
        <v>61</v>
      </c>
      <c r="B6" s="18" t="n">
        <f aca="false">SUM(Projection!H5:J5)</f>
        <v>44.2883549200978</v>
      </c>
      <c r="C6" s="18" t="n">
        <f aca="false">SUM(Projection!H6:J6)</f>
        <v>22.1441774600489</v>
      </c>
      <c r="D6" s="18" t="n">
        <f aca="false">Projection!J7</f>
        <v>260.954636765849</v>
      </c>
      <c r="E6" s="24" t="n">
        <f aca="false">SUM(Projection!H9:J9)</f>
        <v>60822.6740902677</v>
      </c>
      <c r="F6" s="24" t="n">
        <f aca="false">SUM(Projection!H10:J10)</f>
        <v>48658.1392722141</v>
      </c>
      <c r="G6" s="24" t="n">
        <f aca="false">SUM(Projection!H11:J11)</f>
        <v>84000</v>
      </c>
    </row>
    <row r="7" customFormat="false" ht="21.75" hidden="false" customHeight="true" outlineLevel="0" collapsed="false">
      <c r="A7" s="22" t="s">
        <v>62</v>
      </c>
      <c r="B7" s="30" t="n">
        <f aca="false">SUM(Projection!K5:M5)</f>
        <v>48.3950812067737</v>
      </c>
      <c r="C7" s="30" t="n">
        <f aca="false">SUM(Projection!K6:M6)</f>
        <v>24.1975406033869</v>
      </c>
      <c r="D7" s="30" t="n">
        <f aca="false">Projection!M7</f>
        <v>285.152177369236</v>
      </c>
      <c r="E7" s="26" t="n">
        <f aca="false">SUM(Projection!K9:M9)</f>
        <v>66462.578190636</v>
      </c>
      <c r="F7" s="26" t="n">
        <f aca="false">SUM(Projection!K10:M10)</f>
        <v>53170.0625525088</v>
      </c>
      <c r="G7" s="26" t="n">
        <f aca="false">SUM(Projection!K11:M11)</f>
        <v>84000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2026-06-15T21:58:16Z</dcterms:created>
  <dc:creator>Madav</dc:creator>
  <dc:description/>
  <dc:language>en-US</dc:language>
  <cp:lastModifiedBy/>
  <dcterms:modified xsi:type="dcterms:W3CDTF">2026-06-15T21:58:36Z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